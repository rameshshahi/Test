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4956a34c9ec2a/Desktop/New BIM Result/"/>
    </mc:Choice>
  </mc:AlternateContent>
  <xr:revisionPtr revIDLastSave="29" documentId="8_{E914B4E6-1BB2-47A5-B21C-25721BE7B777}" xr6:coauthVersionLast="47" xr6:coauthVersionMax="47" xr10:uidLastSave="{1AB1C852-616F-45C1-B0BE-70AFEF43BDB0}"/>
  <bookViews>
    <workbookView xWindow="-120" yWindow="-120" windowWidth="29040" windowHeight="15720" xr2:uid="{4B67B2AC-8E4A-4724-83F0-DAFDC2E45434}"/>
  </bookViews>
  <sheets>
    <sheet name="BIM 5th" sheetId="1" r:id="rId1"/>
    <sheet name="Table002 (Page 1) (3)" sheetId="5" r:id="rId2"/>
  </sheets>
  <definedNames>
    <definedName name="ExternalData_1" localSheetId="1" hidden="1">'Table002 (Page 1) (3)'!$A$1:$P$7</definedName>
    <definedName name="ExternalData_2" localSheetId="0" hidden="1">'BIM 5th'!$A$1:$E$60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7" i="1" l="1"/>
  <c r="E96" i="1"/>
  <c r="E98" i="1" s="1"/>
  <c r="E89" i="1"/>
  <c r="E93" i="1" s="1"/>
  <c r="E88" i="1"/>
  <c r="E92" i="1" s="1"/>
  <c r="E84" i="1"/>
  <c r="E83" i="1"/>
  <c r="E82" i="1"/>
  <c r="E81" i="1"/>
  <c r="E80" i="1"/>
  <c r="E85" i="1" s="1"/>
  <c r="E77" i="1"/>
  <c r="E76" i="1"/>
  <c r="E75" i="1"/>
  <c r="E74" i="1"/>
  <c r="E73" i="1"/>
  <c r="E78" i="1" s="1"/>
  <c r="E70" i="1"/>
  <c r="E69" i="1"/>
  <c r="E71" i="1" s="1"/>
  <c r="E66" i="1"/>
  <c r="E65" i="1"/>
  <c r="E67" i="1" s="1"/>
  <c r="E90" i="1" l="1"/>
  <c r="E94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BE7C21-B348-446E-A4C6-42038BAE146E}" keepAlive="1" name="Query - Table002 (Page 1)" description="Connection to the 'Table002 (Page 1)' query in the workbook." type="5" refreshedVersion="0" background="1" saveData="1">
    <dbPr connection="Provider=Microsoft.Mashup.OleDb.1;Data Source=$Workbook$;Location=&quot;Table002 (Page 1)&quot;;Extended Properties=&quot;&quot;" command="SELECT * FROM [Table002 (Page 1)]"/>
  </connection>
  <connection id="2" xr16:uid="{C95BF3D3-ECA7-4991-AFD1-9F99D870F810}" keepAlive="1" name="Query - Table002 (Page 1) (2)" description="Connection to the 'Table002 (Page 1) (2)' query in the workbook." type="5" refreshedVersion="8" background="1" saveData="1">
    <dbPr connection="Provider=Microsoft.Mashup.OleDb.1;Data Source=$Workbook$;Location=&quot;Table002 (Page 1) (2)&quot;;Extended Properties=&quot;&quot;" command="SELECT * FROM [Table002 (Page 1) (2)]"/>
  </connection>
  <connection id="3" xr16:uid="{10979189-23CE-4B01-8BE9-52372A67476A}" keepAlive="1" name="Query - Table002 (Page 1) (3)" description="Connection to the 'Table002 (Page 1) (3)' query in the workbook." type="5" refreshedVersion="8" background="1" saveData="1">
    <dbPr connection="Provider=Microsoft.Mashup.OleDb.1;Data Source=$Workbook$;Location=&quot;Table002 (Page 1) (3)&quot;;Extended Properties=&quot;&quot;" command="SELECT * FROM [Table002 (Page 1) (3)]"/>
  </connection>
  <connection id="4" xr16:uid="{9EFC0132-B751-48B6-858D-F663E16055C9}" keepAlive="1" name="Query - Table003 (Page 2-5)" description="Connection to the 'Table003 (Page 2-5)' query in the workbook." type="5" refreshedVersion="8" background="1" saveData="1">
    <dbPr connection="Provider=Microsoft.Mashup.OleDb.1;Data Source=$Workbook$;Location=&quot;Table003 (Page 2-5)&quot;;Extended Properties=&quot;&quot;" command="SELECT * FROM [Table003 (Page 2-5)]"/>
  </connection>
  <connection id="5" xr16:uid="{67721B51-4E0F-47FB-9DC2-B1FF9F80CDEE}" keepAlive="1" name="Query - Table003 (Page 2-5) (2)" description="Connection to the 'Table003 (Page 2-5) (2)' query in the workbook." type="5" refreshedVersion="0" background="1">
    <dbPr connection="Provider=Microsoft.Mashup.OleDb.1;Data Source=$Workbook$;Location=&quot;Table003 (Page 2-5) (2)&quot;;Extended Properties=&quot;&quot;" command="SELECT * FROM [Table003 (Page 2-5) (2)]"/>
  </connection>
</connections>
</file>

<file path=xl/sharedStrings.xml><?xml version="1.0" encoding="utf-8"?>
<sst xmlns="http://schemas.openxmlformats.org/spreadsheetml/2006/main" count="1227" uniqueCount="275">
  <si>
    <t>Roll No.</t>
  </si>
  <si>
    <t>Name of the Student</t>
  </si>
  <si>
    <t>TU Regd. No.</t>
  </si>
  <si>
    <t>GPA</t>
  </si>
  <si>
    <t>GRADE</t>
  </si>
  <si>
    <t>SGPA</t>
  </si>
  <si>
    <t>Semester
Grade</t>
  </si>
  <si>
    <t>Remarks</t>
  </si>
  <si>
    <t>14886 / 22</t>
  </si>
  <si>
    <t>ANISH KATWAL</t>
  </si>
  <si>
    <t>7-2-282-10-2022</t>
  </si>
  <si>
    <t>3.66</t>
  </si>
  <si>
    <t>B+</t>
  </si>
  <si>
    <t>3.15</t>
  </si>
  <si>
    <t>B</t>
  </si>
  <si>
    <t>3.34</t>
  </si>
  <si>
    <t>3.21</t>
  </si>
  <si>
    <t>3.73</t>
  </si>
  <si>
    <t>A-</t>
  </si>
  <si>
    <t>3.42</t>
  </si>
  <si>
    <t>First Division</t>
  </si>
  <si>
    <t>14888 / 22</t>
  </si>
  <si>
    <t>ANUSHKA SHAKYA</t>
  </si>
  <si>
    <t>7-2-282-12-2022</t>
  </si>
  <si>
    <t>3.50</t>
  </si>
  <si>
    <t>3.82</t>
  </si>
  <si>
    <t>3.60</t>
  </si>
  <si>
    <t>14889 / 22</t>
  </si>
  <si>
    <t>APRAMA POKHAREL</t>
  </si>
  <si>
    <t>7-2-282-13-2022</t>
  </si>
  <si>
    <t>3.30</t>
  </si>
  <si>
    <t>3.24</t>
  </si>
  <si>
    <t>3.70</t>
  </si>
  <si>
    <t>3.38</t>
  </si>
  <si>
    <t>14890 / 22</t>
  </si>
  <si>
    <t>ARYA JYOTI BAJRACHARYA</t>
  </si>
  <si>
    <t>7-2-282-14-2022</t>
  </si>
  <si>
    <t>-</t>
  </si>
  <si>
    <t>F</t>
  </si>
  <si>
    <t>3.18</t>
  </si>
  <si>
    <t>Fail</t>
  </si>
  <si>
    <t>14891 / 22</t>
  </si>
  <si>
    <t>ARYAN MAN SINGH PRADHAN</t>
  </si>
  <si>
    <t>7-2-282-15-2022</t>
  </si>
  <si>
    <t>3.85</t>
  </si>
  <si>
    <t>3.40</t>
  </si>
  <si>
    <t>14892 / 22</t>
  </si>
  <si>
    <t>AVISHEK BISTA</t>
  </si>
  <si>
    <t>7-2-282-16-2022</t>
  </si>
  <si>
    <t>3.62</t>
  </si>
  <si>
    <t>3.46</t>
  </si>
  <si>
    <t>4.00</t>
  </si>
  <si>
    <t>A</t>
  </si>
  <si>
    <t>3.54</t>
  </si>
  <si>
    <t>14893 / 22</t>
  </si>
  <si>
    <t>BABITA KHADKA</t>
  </si>
  <si>
    <t>7-2-282-17-2022</t>
  </si>
  <si>
    <t>14895 / 22</t>
  </si>
  <si>
    <t>BIJU SHRESTHA</t>
  </si>
  <si>
    <t>7-2-282-19-2022</t>
  </si>
  <si>
    <t>3.76</t>
  </si>
  <si>
    <t>3.27</t>
  </si>
  <si>
    <t>3.91</t>
  </si>
  <si>
    <t>3.64</t>
  </si>
  <si>
    <t>14896 / 22</t>
  </si>
  <si>
    <t>BIMMI SHRESTHA</t>
  </si>
  <si>
    <t>7-2-282-20-2022</t>
  </si>
  <si>
    <t>3.97</t>
  </si>
  <si>
    <t>3.67</t>
  </si>
  <si>
    <t>14897 / 22</t>
  </si>
  <si>
    <t>DAVISH MAHARJAN</t>
  </si>
  <si>
    <t>7-2-282-22-2022</t>
  </si>
  <si>
    <t>3.39</t>
  </si>
  <si>
    <t>14898 / 22</t>
  </si>
  <si>
    <t>DEEPIKA DANGOL</t>
  </si>
  <si>
    <t>7-2-282-23-2022</t>
  </si>
  <si>
    <t>3.63</t>
  </si>
  <si>
    <t>14899 / 22</t>
  </si>
  <si>
    <t>DRISHYA RAI</t>
  </si>
  <si>
    <t>7-2-282-24-2022</t>
  </si>
  <si>
    <t>3.58</t>
  </si>
  <si>
    <t>14900 / 22</t>
  </si>
  <si>
    <t>GRACY RAI</t>
  </si>
  <si>
    <t>7-2-1203-7-2020</t>
  </si>
  <si>
    <t>3.32</t>
  </si>
  <si>
    <t>14901 / 22</t>
  </si>
  <si>
    <t>HRISHAV KARMACHARYA</t>
  </si>
  <si>
    <t>7-2-282-25-2022</t>
  </si>
  <si>
    <t>3.88</t>
  </si>
  <si>
    <t>3.55</t>
  </si>
  <si>
    <t>14902 / 22</t>
  </si>
  <si>
    <t>ISHAN THAPA MAGAR</t>
  </si>
  <si>
    <t>7-2-282-26-2022</t>
  </si>
  <si>
    <t>14903 / 22</t>
  </si>
  <si>
    <t>KRISHTINA RANJIT</t>
  </si>
  <si>
    <t>7-2-282-27-2022</t>
  </si>
  <si>
    <t>14904 / 22</t>
  </si>
  <si>
    <t>KRITAN MAN SHRESTHA</t>
  </si>
  <si>
    <t>7-2-282-28-2022</t>
  </si>
  <si>
    <t>3.47</t>
  </si>
  <si>
    <t>14905 / 22</t>
  </si>
  <si>
    <t>LYRICA RANA</t>
  </si>
  <si>
    <t>7-2-282-29-2022</t>
  </si>
  <si>
    <t>14906 / 22</t>
  </si>
  <si>
    <t>MEHEBIKA RAI</t>
  </si>
  <si>
    <t>7-2-282-30-2022</t>
  </si>
  <si>
    <t>14907 / 22</t>
  </si>
  <si>
    <t>NIDHI RAUNIYAR</t>
  </si>
  <si>
    <t>7-2-282-31-2022</t>
  </si>
  <si>
    <t>3.09</t>
  </si>
  <si>
    <t>3.35</t>
  </si>
  <si>
    <t>14908 / 22</t>
  </si>
  <si>
    <t>NIRUSHA CHALISE</t>
  </si>
  <si>
    <t>7-2-282-33-2022</t>
  </si>
  <si>
    <t>3.65</t>
  </si>
  <si>
    <t>14909 / 22</t>
  </si>
  <si>
    <t>NISCHAL SHRESTHA</t>
  </si>
  <si>
    <t>7-2-282-34-2022</t>
  </si>
  <si>
    <t>14910 / 22</t>
  </si>
  <si>
    <t>NISHANT POKHREL</t>
  </si>
  <si>
    <t>7-2-282-35-2022</t>
  </si>
  <si>
    <t>14911 / 22</t>
  </si>
  <si>
    <t>PRAGYA CHALISE</t>
  </si>
  <si>
    <t>7-2-282-36-2022</t>
  </si>
  <si>
    <t>14912 / 22</t>
  </si>
  <si>
    <t>PRAKRITI ACHARYA</t>
  </si>
  <si>
    <t>7-2-282-37-2022</t>
  </si>
  <si>
    <t>3.74</t>
  </si>
  <si>
    <t>Very Good</t>
  </si>
  <si>
    <t>14913 / 22</t>
  </si>
  <si>
    <t>PRAPTI BAJRACHARYA</t>
  </si>
  <si>
    <t>7-2-282-38-2022</t>
  </si>
  <si>
    <t>3.89</t>
  </si>
  <si>
    <t>14914 / 22</t>
  </si>
  <si>
    <t>PRATIK MAHARJAN</t>
  </si>
  <si>
    <t>7-2-282-39-2022</t>
  </si>
  <si>
    <t>14915 / 22</t>
  </si>
  <si>
    <t>PRINCE PANTHI</t>
  </si>
  <si>
    <t>7-2-282-40-2022</t>
  </si>
  <si>
    <t>3.51</t>
  </si>
  <si>
    <t>14917 / 22</t>
  </si>
  <si>
    <t>RISHI KUMAR PANDEY</t>
  </si>
  <si>
    <t>7-2-282-42-2022</t>
  </si>
  <si>
    <t>14918 / 22</t>
  </si>
  <si>
    <t>RISHNA JOSHI</t>
  </si>
  <si>
    <t>7-2-282-43-2022</t>
  </si>
  <si>
    <t>3.94</t>
  </si>
  <si>
    <t>3.79</t>
  </si>
  <si>
    <t>14919 / 22</t>
  </si>
  <si>
    <t>SACHISTHA GURUNG</t>
  </si>
  <si>
    <t>7-2-282-44-2022</t>
  </si>
  <si>
    <t>3.90</t>
  </si>
  <si>
    <t>14920 / 22</t>
  </si>
  <si>
    <t>SAMPURNA POUDYAL</t>
  </si>
  <si>
    <t>7-2-282-45-2022</t>
  </si>
  <si>
    <t>3.80</t>
  </si>
  <si>
    <t>14921 / 22</t>
  </si>
  <si>
    <t>SAMYOG K.C.</t>
  </si>
  <si>
    <t>7-2-282-46-2022</t>
  </si>
  <si>
    <t>14922 / 22</t>
  </si>
  <si>
    <t>SARASWOTI KAPALI</t>
  </si>
  <si>
    <t>7-2-282-47-2022</t>
  </si>
  <si>
    <t>14923 / 22</t>
  </si>
  <si>
    <t>SARTHAK RUPAKHETI</t>
  </si>
  <si>
    <t>7-2-282-48-2022</t>
  </si>
  <si>
    <t>14924 / 22</t>
  </si>
  <si>
    <t>SASHANK SHAHI</t>
  </si>
  <si>
    <t>7-2-282-49-2022</t>
  </si>
  <si>
    <t>3.61</t>
  </si>
  <si>
    <t>14925 / 22</t>
  </si>
  <si>
    <t>SHRESKAR BISTA</t>
  </si>
  <si>
    <t>7-2-282-50-2022</t>
  </si>
  <si>
    <t>14926 / 22</t>
  </si>
  <si>
    <t>SHRIYA SHAKYA</t>
  </si>
  <si>
    <t>7-2-282-51-2022</t>
  </si>
  <si>
    <t>3.48</t>
  </si>
  <si>
    <t>14927 / 22</t>
  </si>
  <si>
    <t>SHRIYANSHU DHAKAL</t>
  </si>
  <si>
    <t>7-2-282-52-2022</t>
  </si>
  <si>
    <t>14928 / 22</t>
  </si>
  <si>
    <t>SHUBHAM YADAV</t>
  </si>
  <si>
    <t>7-2-282-65-2022</t>
  </si>
  <si>
    <t>14929 / 22</t>
  </si>
  <si>
    <t>SRIJANA KHATRI</t>
  </si>
  <si>
    <t>7-2-282-53-2022</t>
  </si>
  <si>
    <t>3.68</t>
  </si>
  <si>
    <t>14930 / 22</t>
  </si>
  <si>
    <t>STUTI KARANJEET</t>
  </si>
  <si>
    <t>7-2-282-54-2022</t>
  </si>
  <si>
    <t>3.00</t>
  </si>
  <si>
    <t>14931 / 22</t>
  </si>
  <si>
    <t>SUBIN MALLA</t>
  </si>
  <si>
    <t>7-2-282-55-2022</t>
  </si>
  <si>
    <t>14932 / 22</t>
  </si>
  <si>
    <t>SUDHANSHU YADAV</t>
  </si>
  <si>
    <t>7-2-282-56-2022</t>
  </si>
  <si>
    <t>3.78</t>
  </si>
  <si>
    <t>14933 / 22</t>
  </si>
  <si>
    <t>SUGAM RANA</t>
  </si>
  <si>
    <t>7-2-282-57-2022</t>
  </si>
  <si>
    <t>3.12</t>
  </si>
  <si>
    <t>14934 / 22</t>
  </si>
  <si>
    <t>SUJAN POKHAREL</t>
  </si>
  <si>
    <t>7-2-282-58-2022</t>
  </si>
  <si>
    <t>14936 / 22</t>
  </si>
  <si>
    <t>SUSHAN NARAYAN DANGOL</t>
  </si>
  <si>
    <t>7-2-282-60-2022</t>
  </si>
  <si>
    <t>14937 / 22</t>
  </si>
  <si>
    <t>TISA MANANDHAR</t>
  </si>
  <si>
    <t>7-2-282-61-2022</t>
  </si>
  <si>
    <t>14938 / 22</t>
  </si>
  <si>
    <t>TRIZA KAFLE</t>
  </si>
  <si>
    <t>7-2-282-62-2022</t>
  </si>
  <si>
    <t>14939 / 22</t>
  </si>
  <si>
    <t>VIJAN DHAREL</t>
  </si>
  <si>
    <t>7-2-282-63-2022</t>
  </si>
  <si>
    <t>15475 / 22</t>
  </si>
  <si>
    <t>AAKANKSHA LAMSAL</t>
  </si>
  <si>
    <t>7-2-1194-80-2022</t>
  </si>
  <si>
    <t>14877 / 22</t>
  </si>
  <si>
    <t>AABHA KUMHAL</t>
  </si>
  <si>
    <t>7-2-282-1-2022</t>
  </si>
  <si>
    <t>14879 / 22</t>
  </si>
  <si>
    <t>AARCHI PALIKHEL</t>
  </si>
  <si>
    <t>7-2-282-3-2022</t>
  </si>
  <si>
    <t>14880 / 22</t>
  </si>
  <si>
    <t>AAROHAN SHAKYA</t>
  </si>
  <si>
    <t>7-2-282-4-2022</t>
  </si>
  <si>
    <t>14881 / 22</t>
  </si>
  <si>
    <t>AAYUSH GRIMIER</t>
  </si>
  <si>
    <t>7-2-282-5-2022</t>
  </si>
  <si>
    <t>3.41</t>
  </si>
  <si>
    <t>14882 / 22</t>
  </si>
  <si>
    <t>ABHILASHA ADHIKARI</t>
  </si>
  <si>
    <t>7-2-282-6-2022</t>
  </si>
  <si>
    <t>14883 / 22</t>
  </si>
  <si>
    <t>AELISH MAHARJAN</t>
  </si>
  <si>
    <t>7-2-282-7-2022</t>
  </si>
  <si>
    <t>3.49</t>
  </si>
  <si>
    <t>GPA2</t>
  </si>
  <si>
    <t>GRADE3</t>
  </si>
  <si>
    <t>GPA4</t>
  </si>
  <si>
    <t>GRADE5</t>
  </si>
  <si>
    <t>GPA6</t>
  </si>
  <si>
    <t>GRADE7</t>
  </si>
  <si>
    <t>GPA8</t>
  </si>
  <si>
    <t>GRADE9</t>
  </si>
  <si>
    <t>Gender</t>
  </si>
  <si>
    <t>M</t>
  </si>
  <si>
    <t>Male</t>
  </si>
  <si>
    <t>Female</t>
  </si>
  <si>
    <t xml:space="preserve">Total </t>
  </si>
  <si>
    <t>Male Appeared</t>
  </si>
  <si>
    <t>Female Appeared</t>
  </si>
  <si>
    <t>Male Distinction</t>
  </si>
  <si>
    <t>MaleVery Good</t>
  </si>
  <si>
    <t>Male First Division</t>
  </si>
  <si>
    <t>Male Second Division</t>
  </si>
  <si>
    <t>Male Third Division</t>
  </si>
  <si>
    <t>Total Male Pass</t>
  </si>
  <si>
    <t>FeMale Distinction</t>
  </si>
  <si>
    <t>FeMale Very Good</t>
  </si>
  <si>
    <t>FeMale First Division</t>
  </si>
  <si>
    <t>FeMale Second Division</t>
  </si>
  <si>
    <t>FeMale Third Division</t>
  </si>
  <si>
    <t>Total Female Pass</t>
  </si>
  <si>
    <t>Male Pass</t>
  </si>
  <si>
    <t>Female Pass</t>
  </si>
  <si>
    <t>Total Pass</t>
  </si>
  <si>
    <t>Male Pass %</t>
  </si>
  <si>
    <t>Female Pass %</t>
  </si>
  <si>
    <t>Total Pass %</t>
  </si>
  <si>
    <t>Male Failed</t>
  </si>
  <si>
    <t>Female Failed</t>
  </si>
  <si>
    <t>Total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</si>
</sst>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Bell MT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9EDE3F2-B70E-4140-94EF-45679BE5A6AA}" autoFormatId="16" applyNumberFormats="0" applyBorderFormats="0" applyFontFormats="0" applyPatternFormats="0" applyAlignmentFormats="0" applyWidthHeightFormats="0">
  <queryTableRefresh nextId="17">
    <queryTableFields count="5">
      <queryTableField id="1" name="Column1" tableColumnId="1"/>
      <queryTableField id="2" name="Column2" tableColumnId="2"/>
      <queryTableField id="13" name="Column13" tableColumnId="13"/>
      <queryTableField id="14" name="Column14" tableColumnId="14"/>
      <queryTableField id="16" name="Column16" tableColumnId="16"/>
    </queryTableFields>
    <queryTableDeletedFields count="11">
      <deletedField name="Column3"/>
      <deletedField name="Column4"/>
      <deletedField name="Column5"/>
      <deletedField name="Column6"/>
      <deletedField name="Column7"/>
      <deletedField name="Column8"/>
      <deletedField name="Column9"/>
      <deletedField name="Column10"/>
      <deletedField name="Column11"/>
      <deletedField name="Column12"/>
      <deletedField name="Column15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43D1FB9-457F-4798-BB90-B3B89F3FD729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A185BF-D60F-4375-ACBD-27F8B0BD6B73}" name="Table002__Page_15" displayName="Table002__Page_15" ref="A1:E60" tableType="queryTable" totalsRowShown="0">
  <autoFilter ref="A1:E60" xr:uid="{FFA185BF-D60F-4375-ACBD-27F8B0BD6B73}"/>
  <tableColumns count="5">
    <tableColumn id="1" xr3:uid="{DC33E40B-7646-4F6B-AC02-892E0B33FE97}" uniqueName="1" name="Roll No." queryTableFieldId="1" dataDxfId="18"/>
    <tableColumn id="2" xr3:uid="{D49D9894-5888-4AE2-AC5B-59F66C398809}" uniqueName="2" name="Name of the Student" queryTableFieldId="2" dataDxfId="17"/>
    <tableColumn id="13" xr3:uid="{6B3713BE-BF41-4476-BD74-F25C1B3EFB72}" uniqueName="13" name="Gender" queryTableFieldId="13" dataDxfId="16"/>
    <tableColumn id="14" xr3:uid="{AEDA86E2-BC2F-4B8D-B6D2-FF6D7CAA9326}" uniqueName="14" name="SGPA" queryTableFieldId="14" dataDxfId="15"/>
    <tableColumn id="16" xr3:uid="{8259E292-F098-4F38-88F7-A6B9031C06F4}" uniqueName="16" name="Remarks" queryTableFieldId="16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B74D63-BF16-46EB-BF9F-635BAC6F08C8}" name="Table002__Page_1___3" displayName="Table002__Page_1___3" ref="A1:P7" tableType="queryTable" totalsRowShown="0" headerRowDxfId="13">
  <autoFilter ref="A1:P7" xr:uid="{F4B74D63-BF16-46EB-BF9F-635BAC6F08C8}"/>
  <tableColumns count="16">
    <tableColumn id="1" xr3:uid="{25814310-4E3B-4D2F-B4B6-034ADED6CCE6}" uniqueName="1" name="Roll No." queryTableFieldId="1" dataDxfId="12"/>
    <tableColumn id="2" xr3:uid="{FC994298-6F6F-4D89-BEF2-5ADC7370F8D3}" uniqueName="2" name="Name of the Student" queryTableFieldId="2" dataDxfId="11"/>
    <tableColumn id="3" xr3:uid="{7A84506A-3AA5-45F2-B7B9-2A292E94225D}" uniqueName="3" name="TU Regd. No." queryTableFieldId="3" dataDxfId="10"/>
    <tableColumn id="4" xr3:uid="{80C39BFA-745C-4437-B2AC-FBAD152884DD}" uniqueName="4" name="GPA" queryTableFieldId="4"/>
    <tableColumn id="5" xr3:uid="{1F88B824-766E-4664-8481-32B60C696BE4}" uniqueName="5" name="GRADE" queryTableFieldId="5" dataDxfId="9"/>
    <tableColumn id="6" xr3:uid="{56E24C70-E021-45EA-9C66-B4B51BC7D243}" uniqueName="6" name="GPA2" queryTableFieldId="6" dataDxfId="8"/>
    <tableColumn id="7" xr3:uid="{A3A8D1D3-AF39-4914-A697-22766F5D785F}" uniqueName="7" name="GRADE3" queryTableFieldId="7" dataDxfId="7"/>
    <tableColumn id="8" xr3:uid="{F507CEA5-080D-4F95-9A4F-02E27F811F07}" uniqueName="8" name="GPA4" queryTableFieldId="8"/>
    <tableColumn id="9" xr3:uid="{343E30A5-D6A6-448E-8085-2D9082A3A6FD}" uniqueName="9" name="GRADE5" queryTableFieldId="9" dataDxfId="6"/>
    <tableColumn id="10" xr3:uid="{CA0A3FBC-E7BA-4D56-B034-B1750F3C1D30}" uniqueName="10" name="GPA6" queryTableFieldId="10" dataDxfId="5"/>
    <tableColumn id="11" xr3:uid="{BD7E2A52-8F76-4FC1-A7C2-92962D2D7F2C}" uniqueName="11" name="GRADE7" queryTableFieldId="11" dataDxfId="4"/>
    <tableColumn id="12" xr3:uid="{B1E40DDE-4132-4B2C-BB75-6A082DC138FB}" uniqueName="12" name="GPA8" queryTableFieldId="12"/>
    <tableColumn id="13" xr3:uid="{518DF276-8685-4ABD-A5E8-AD3855DA3ECB}" uniqueName="13" name="GRADE9" queryTableFieldId="13" dataDxfId="3"/>
    <tableColumn id="14" xr3:uid="{2395F752-A426-4CBF-86B7-48D3A2DA7E71}" uniqueName="14" name="SGPA" queryTableFieldId="14" dataDxfId="2"/>
    <tableColumn id="15" xr3:uid="{99D13392-329A-4A96-9D67-B50944D3DDA1}" uniqueName="15" name="Semester_x000a_Grade" queryTableFieldId="15" dataDxfId="1"/>
    <tableColumn id="16" xr3:uid="{D7B49D49-CE44-48B7-8430-47DEFED020F6}" uniqueName="16" name="Remarks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94AB8-CBE6-4741-8571-077049C108C4}">
  <dimension ref="A1:E98"/>
  <sheetViews>
    <sheetView tabSelected="1" topLeftCell="A79" workbookViewId="0">
      <selection activeCell="E71" sqref="E71"/>
    </sheetView>
  </sheetViews>
  <sheetFormatPr defaultRowHeight="20.100000000000001" customHeight="1" x14ac:dyDescent="0.25"/>
  <cols>
    <col min="2" max="2" width="27.85546875" bestFit="1" customWidth="1"/>
    <col min="3" max="3" width="10.42578125" bestFit="1" customWidth="1"/>
    <col min="4" max="4" width="8.140625" bestFit="1" customWidth="1"/>
    <col min="5" max="5" width="12.42578125" bestFit="1" customWidth="1"/>
  </cols>
  <sheetData>
    <row r="1" spans="1:5" ht="20.100000000000001" customHeight="1" x14ac:dyDescent="0.25">
      <c r="A1" t="s">
        <v>0</v>
      </c>
      <c r="B1" t="s">
        <v>1</v>
      </c>
      <c r="C1" t="s">
        <v>247</v>
      </c>
      <c r="D1" t="s">
        <v>5</v>
      </c>
      <c r="E1" t="s">
        <v>7</v>
      </c>
    </row>
    <row r="4" spans="1:5" ht="20.100000000000001" customHeight="1" x14ac:dyDescent="0.3">
      <c r="A4" t="s">
        <v>219</v>
      </c>
      <c r="B4" t="s">
        <v>220</v>
      </c>
      <c r="C4" s="1" t="s">
        <v>38</v>
      </c>
      <c r="D4" t="s">
        <v>49</v>
      </c>
      <c r="E4" t="s">
        <v>20</v>
      </c>
    </row>
    <row r="5" spans="1:5" ht="20.100000000000001" customHeight="1" x14ac:dyDescent="0.3">
      <c r="A5" t="s">
        <v>222</v>
      </c>
      <c r="B5" t="s">
        <v>223</v>
      </c>
      <c r="C5" s="1" t="s">
        <v>38</v>
      </c>
      <c r="D5" t="s">
        <v>132</v>
      </c>
      <c r="E5" t="s">
        <v>128</v>
      </c>
    </row>
    <row r="6" spans="1:5" ht="20.100000000000001" customHeight="1" x14ac:dyDescent="0.3">
      <c r="A6" t="s">
        <v>225</v>
      </c>
      <c r="B6" t="s">
        <v>226</v>
      </c>
      <c r="C6" s="1" t="s">
        <v>248</v>
      </c>
      <c r="D6" t="s">
        <v>26</v>
      </c>
      <c r="E6" t="s">
        <v>20</v>
      </c>
    </row>
    <row r="7" spans="1:5" ht="20.100000000000001" customHeight="1" x14ac:dyDescent="0.3">
      <c r="A7" t="s">
        <v>228</v>
      </c>
      <c r="B7" t="s">
        <v>229</v>
      </c>
      <c r="C7" s="1" t="s">
        <v>248</v>
      </c>
      <c r="D7" t="s">
        <v>231</v>
      </c>
      <c r="E7" t="s">
        <v>20</v>
      </c>
    </row>
    <row r="8" spans="1:5" ht="20.100000000000001" customHeight="1" x14ac:dyDescent="0.3">
      <c r="A8" t="s">
        <v>232</v>
      </c>
      <c r="B8" t="s">
        <v>233</v>
      </c>
      <c r="C8" s="1" t="s">
        <v>38</v>
      </c>
      <c r="D8" t="s">
        <v>37</v>
      </c>
      <c r="E8" t="s">
        <v>40</v>
      </c>
    </row>
    <row r="9" spans="1:5" ht="20.100000000000001" customHeight="1" x14ac:dyDescent="0.3">
      <c r="A9" t="s">
        <v>235</v>
      </c>
      <c r="B9" t="s">
        <v>236</v>
      </c>
      <c r="C9" s="1" t="s">
        <v>248</v>
      </c>
      <c r="D9" t="s">
        <v>238</v>
      </c>
      <c r="E9" t="s">
        <v>20</v>
      </c>
    </row>
    <row r="10" spans="1:5" ht="20.100000000000001" customHeight="1" x14ac:dyDescent="0.3">
      <c r="A10" t="s">
        <v>8</v>
      </c>
      <c r="B10" t="s">
        <v>9</v>
      </c>
      <c r="C10" s="1" t="s">
        <v>248</v>
      </c>
      <c r="D10" t="s">
        <v>19</v>
      </c>
      <c r="E10" t="s">
        <v>20</v>
      </c>
    </row>
    <row r="11" spans="1:5" ht="20.100000000000001" customHeight="1" x14ac:dyDescent="0.3">
      <c r="A11" t="s">
        <v>21</v>
      </c>
      <c r="B11" t="s">
        <v>22</v>
      </c>
      <c r="C11" s="1" t="s">
        <v>38</v>
      </c>
      <c r="D11" t="s">
        <v>26</v>
      </c>
      <c r="E11" t="s">
        <v>20</v>
      </c>
    </row>
    <row r="12" spans="1:5" ht="20.100000000000001" customHeight="1" x14ac:dyDescent="0.3">
      <c r="A12" t="s">
        <v>27</v>
      </c>
      <c r="B12" t="s">
        <v>28</v>
      </c>
      <c r="C12" s="1" t="s">
        <v>38</v>
      </c>
      <c r="D12" t="s">
        <v>33</v>
      </c>
      <c r="E12" t="s">
        <v>20</v>
      </c>
    </row>
    <row r="13" spans="1:5" ht="20.100000000000001" customHeight="1" x14ac:dyDescent="0.3">
      <c r="A13" t="s">
        <v>34</v>
      </c>
      <c r="B13" t="s">
        <v>35</v>
      </c>
      <c r="C13" s="1" t="s">
        <v>248</v>
      </c>
      <c r="D13" t="s">
        <v>37</v>
      </c>
      <c r="E13" t="s">
        <v>40</v>
      </c>
    </row>
    <row r="14" spans="1:5" ht="20.100000000000001" customHeight="1" x14ac:dyDescent="0.3">
      <c r="A14" t="s">
        <v>41</v>
      </c>
      <c r="B14" t="s">
        <v>42</v>
      </c>
      <c r="C14" s="1" t="s">
        <v>248</v>
      </c>
      <c r="D14" t="s">
        <v>45</v>
      </c>
      <c r="E14" t="s">
        <v>20</v>
      </c>
    </row>
    <row r="15" spans="1:5" ht="20.100000000000001" customHeight="1" x14ac:dyDescent="0.3">
      <c r="A15" t="s">
        <v>46</v>
      </c>
      <c r="B15" t="s">
        <v>47</v>
      </c>
      <c r="C15" s="1" t="s">
        <v>248</v>
      </c>
      <c r="D15" t="s">
        <v>53</v>
      </c>
      <c r="E15" t="s">
        <v>20</v>
      </c>
    </row>
    <row r="16" spans="1:5" ht="20.100000000000001" customHeight="1" x14ac:dyDescent="0.3">
      <c r="A16" t="s">
        <v>54</v>
      </c>
      <c r="B16" t="s">
        <v>55</v>
      </c>
      <c r="C16" s="1" t="s">
        <v>38</v>
      </c>
      <c r="D16" t="s">
        <v>26</v>
      </c>
      <c r="E16" t="s">
        <v>20</v>
      </c>
    </row>
    <row r="17" spans="1:5" ht="20.100000000000001" customHeight="1" x14ac:dyDescent="0.3">
      <c r="A17" t="s">
        <v>57</v>
      </c>
      <c r="B17" t="s">
        <v>58</v>
      </c>
      <c r="C17" s="1" t="s">
        <v>248</v>
      </c>
      <c r="D17" t="s">
        <v>63</v>
      </c>
      <c r="E17" t="s">
        <v>20</v>
      </c>
    </row>
    <row r="18" spans="1:5" ht="20.100000000000001" customHeight="1" x14ac:dyDescent="0.3">
      <c r="A18" t="s">
        <v>64</v>
      </c>
      <c r="B18" t="s">
        <v>65</v>
      </c>
      <c r="C18" s="1" t="s">
        <v>38</v>
      </c>
      <c r="D18" t="s">
        <v>68</v>
      </c>
      <c r="E18" t="s">
        <v>20</v>
      </c>
    </row>
    <row r="19" spans="1:5" ht="20.100000000000001" customHeight="1" x14ac:dyDescent="0.3">
      <c r="A19" t="s">
        <v>69</v>
      </c>
      <c r="B19" t="s">
        <v>70</v>
      </c>
      <c r="C19" s="1" t="s">
        <v>248</v>
      </c>
      <c r="D19" t="s">
        <v>72</v>
      </c>
      <c r="E19" t="s">
        <v>20</v>
      </c>
    </row>
    <row r="20" spans="1:5" ht="20.100000000000001" customHeight="1" x14ac:dyDescent="0.3">
      <c r="A20" t="s">
        <v>73</v>
      </c>
      <c r="B20" t="s">
        <v>74</v>
      </c>
      <c r="C20" s="1" t="s">
        <v>38</v>
      </c>
      <c r="D20" t="s">
        <v>76</v>
      </c>
      <c r="E20" t="s">
        <v>20</v>
      </c>
    </row>
    <row r="21" spans="1:5" ht="20.100000000000001" customHeight="1" x14ac:dyDescent="0.3">
      <c r="A21" t="s">
        <v>77</v>
      </c>
      <c r="B21" t="s">
        <v>78</v>
      </c>
      <c r="C21" s="1" t="s">
        <v>38</v>
      </c>
      <c r="D21" t="s">
        <v>19</v>
      </c>
      <c r="E21" t="s">
        <v>20</v>
      </c>
    </row>
    <row r="22" spans="1:5" ht="20.100000000000001" customHeight="1" x14ac:dyDescent="0.3">
      <c r="A22" t="s">
        <v>81</v>
      </c>
      <c r="B22" t="s">
        <v>82</v>
      </c>
      <c r="C22" s="1" t="s">
        <v>38</v>
      </c>
      <c r="D22" t="s">
        <v>84</v>
      </c>
      <c r="E22" t="s">
        <v>20</v>
      </c>
    </row>
    <row r="23" spans="1:5" ht="20.100000000000001" customHeight="1" x14ac:dyDescent="0.3">
      <c r="A23" t="s">
        <v>85</v>
      </c>
      <c r="B23" t="s">
        <v>86</v>
      </c>
      <c r="C23" s="1" t="s">
        <v>248</v>
      </c>
      <c r="D23" t="s">
        <v>89</v>
      </c>
      <c r="E23" t="s">
        <v>20</v>
      </c>
    </row>
    <row r="24" spans="1:5" ht="20.100000000000001" customHeight="1" x14ac:dyDescent="0.3">
      <c r="A24" t="s">
        <v>90</v>
      </c>
      <c r="B24" t="s">
        <v>91</v>
      </c>
      <c r="C24" s="1" t="s">
        <v>248</v>
      </c>
      <c r="D24" t="s">
        <v>49</v>
      </c>
      <c r="E24" t="s">
        <v>20</v>
      </c>
    </row>
    <row r="25" spans="1:5" ht="20.100000000000001" customHeight="1" x14ac:dyDescent="0.3">
      <c r="A25" t="s">
        <v>93</v>
      </c>
      <c r="B25" t="s">
        <v>94</v>
      </c>
      <c r="C25" s="1" t="s">
        <v>38</v>
      </c>
      <c r="D25" t="s">
        <v>68</v>
      </c>
      <c r="E25" t="s">
        <v>20</v>
      </c>
    </row>
    <row r="26" spans="1:5" ht="20.100000000000001" customHeight="1" x14ac:dyDescent="0.3">
      <c r="A26" t="s">
        <v>96</v>
      </c>
      <c r="B26" t="s">
        <v>97</v>
      </c>
      <c r="C26" s="1" t="s">
        <v>248</v>
      </c>
      <c r="D26" t="s">
        <v>99</v>
      </c>
      <c r="E26" t="s">
        <v>20</v>
      </c>
    </row>
    <row r="27" spans="1:5" ht="20.100000000000001" customHeight="1" x14ac:dyDescent="0.3">
      <c r="A27" t="s">
        <v>100</v>
      </c>
      <c r="B27" t="s">
        <v>101</v>
      </c>
      <c r="C27" s="1" t="s">
        <v>38</v>
      </c>
      <c r="D27" t="s">
        <v>49</v>
      </c>
      <c r="E27" t="s">
        <v>20</v>
      </c>
    </row>
    <row r="28" spans="1:5" ht="20.100000000000001" customHeight="1" x14ac:dyDescent="0.3">
      <c r="A28" t="s">
        <v>103</v>
      </c>
      <c r="B28" t="s">
        <v>104</v>
      </c>
      <c r="C28" s="1" t="s">
        <v>38</v>
      </c>
      <c r="D28" t="s">
        <v>30</v>
      </c>
      <c r="E28" t="s">
        <v>20</v>
      </c>
    </row>
    <row r="29" spans="1:5" ht="20.100000000000001" customHeight="1" x14ac:dyDescent="0.3">
      <c r="A29" t="s">
        <v>106</v>
      </c>
      <c r="B29" t="s">
        <v>107</v>
      </c>
      <c r="C29" s="1" t="s">
        <v>38</v>
      </c>
      <c r="D29" t="s">
        <v>110</v>
      </c>
      <c r="E29" t="s">
        <v>20</v>
      </c>
    </row>
    <row r="30" spans="1:5" ht="20.100000000000001" customHeight="1" x14ac:dyDescent="0.3">
      <c r="A30" t="s">
        <v>111</v>
      </c>
      <c r="B30" t="s">
        <v>112</v>
      </c>
      <c r="C30" s="1" t="s">
        <v>248</v>
      </c>
      <c r="D30" t="s">
        <v>114</v>
      </c>
      <c r="E30" t="s">
        <v>20</v>
      </c>
    </row>
    <row r="31" spans="1:5" ht="20.100000000000001" customHeight="1" x14ac:dyDescent="0.3">
      <c r="A31" t="s">
        <v>115</v>
      </c>
      <c r="B31" t="s">
        <v>116</v>
      </c>
      <c r="C31" s="1" t="s">
        <v>38</v>
      </c>
      <c r="D31" t="s">
        <v>37</v>
      </c>
      <c r="E31" t="s">
        <v>40</v>
      </c>
    </row>
    <row r="32" spans="1:5" ht="20.100000000000001" customHeight="1" x14ac:dyDescent="0.3">
      <c r="A32" t="s">
        <v>118</v>
      </c>
      <c r="B32" t="s">
        <v>119</v>
      </c>
      <c r="C32" s="1" t="s">
        <v>248</v>
      </c>
      <c r="D32" t="s">
        <v>37</v>
      </c>
      <c r="E32" t="s">
        <v>40</v>
      </c>
    </row>
    <row r="33" spans="1:5" ht="20.100000000000001" customHeight="1" x14ac:dyDescent="0.3">
      <c r="A33" t="s">
        <v>121</v>
      </c>
      <c r="B33" t="s">
        <v>122</v>
      </c>
      <c r="C33" s="1" t="s">
        <v>248</v>
      </c>
      <c r="D33" t="s">
        <v>37</v>
      </c>
      <c r="E33" t="s">
        <v>40</v>
      </c>
    </row>
    <row r="34" spans="1:5" ht="20.100000000000001" customHeight="1" x14ac:dyDescent="0.3">
      <c r="A34" t="s">
        <v>124</v>
      </c>
      <c r="B34" t="s">
        <v>125</v>
      </c>
      <c r="C34" s="1" t="s">
        <v>38</v>
      </c>
      <c r="D34" t="s">
        <v>127</v>
      </c>
      <c r="E34" t="s">
        <v>128</v>
      </c>
    </row>
    <row r="35" spans="1:5" ht="20.100000000000001" customHeight="1" x14ac:dyDescent="0.3">
      <c r="A35" t="s">
        <v>129</v>
      </c>
      <c r="B35" t="s">
        <v>130</v>
      </c>
      <c r="C35" s="1" t="s">
        <v>38</v>
      </c>
      <c r="D35" t="s">
        <v>132</v>
      </c>
      <c r="E35" t="s">
        <v>128</v>
      </c>
    </row>
    <row r="36" spans="1:5" ht="20.100000000000001" customHeight="1" x14ac:dyDescent="0.3">
      <c r="A36" t="s">
        <v>133</v>
      </c>
      <c r="B36" t="s">
        <v>134</v>
      </c>
      <c r="C36" s="1" t="s">
        <v>38</v>
      </c>
      <c r="D36" t="s">
        <v>32</v>
      </c>
      <c r="E36" t="s">
        <v>128</v>
      </c>
    </row>
    <row r="37" spans="1:5" ht="20.100000000000001" customHeight="1" x14ac:dyDescent="0.3">
      <c r="A37" t="s">
        <v>136</v>
      </c>
      <c r="B37" t="s">
        <v>137</v>
      </c>
      <c r="C37" s="1" t="s">
        <v>248</v>
      </c>
      <c r="D37" t="s">
        <v>139</v>
      </c>
      <c r="E37" t="s">
        <v>20</v>
      </c>
    </row>
    <row r="38" spans="1:5" ht="20.100000000000001" customHeight="1" x14ac:dyDescent="0.3">
      <c r="A38" t="s">
        <v>140</v>
      </c>
      <c r="B38" t="s">
        <v>141</v>
      </c>
      <c r="C38" s="1" t="s">
        <v>248</v>
      </c>
      <c r="D38" t="s">
        <v>37</v>
      </c>
      <c r="E38" t="s">
        <v>40</v>
      </c>
    </row>
    <row r="39" spans="1:5" ht="20.100000000000001" customHeight="1" x14ac:dyDescent="0.3">
      <c r="A39" t="s">
        <v>143</v>
      </c>
      <c r="B39" t="s">
        <v>144</v>
      </c>
      <c r="C39" s="1" t="s">
        <v>248</v>
      </c>
      <c r="D39" t="s">
        <v>25</v>
      </c>
      <c r="E39" t="s">
        <v>128</v>
      </c>
    </row>
    <row r="40" spans="1:5" ht="20.100000000000001" customHeight="1" x14ac:dyDescent="0.3">
      <c r="A40" t="s">
        <v>148</v>
      </c>
      <c r="B40" t="s">
        <v>149</v>
      </c>
      <c r="C40" s="1" t="s">
        <v>38</v>
      </c>
      <c r="D40" t="s">
        <v>151</v>
      </c>
      <c r="E40" t="s">
        <v>128</v>
      </c>
    </row>
    <row r="41" spans="1:5" ht="20.100000000000001" customHeight="1" x14ac:dyDescent="0.3">
      <c r="A41" t="s">
        <v>152</v>
      </c>
      <c r="B41" t="s">
        <v>153</v>
      </c>
      <c r="C41" s="1" t="s">
        <v>38</v>
      </c>
      <c r="D41" t="s">
        <v>155</v>
      </c>
      <c r="E41" t="s">
        <v>128</v>
      </c>
    </row>
    <row r="42" spans="1:5" ht="20.100000000000001" customHeight="1" x14ac:dyDescent="0.3">
      <c r="A42" t="s">
        <v>156</v>
      </c>
      <c r="B42" t="s">
        <v>157</v>
      </c>
      <c r="C42" s="1" t="s">
        <v>38</v>
      </c>
      <c r="D42" t="s">
        <v>44</v>
      </c>
      <c r="E42" t="s">
        <v>128</v>
      </c>
    </row>
    <row r="43" spans="1:5" ht="20.100000000000001" customHeight="1" x14ac:dyDescent="0.3">
      <c r="A43" t="s">
        <v>159</v>
      </c>
      <c r="B43" t="s">
        <v>160</v>
      </c>
      <c r="C43" s="1" t="s">
        <v>248</v>
      </c>
      <c r="D43" t="s">
        <v>32</v>
      </c>
      <c r="E43" t="s">
        <v>128</v>
      </c>
    </row>
    <row r="44" spans="1:5" ht="20.100000000000001" customHeight="1" x14ac:dyDescent="0.3">
      <c r="A44" t="s">
        <v>162</v>
      </c>
      <c r="B44" t="s">
        <v>163</v>
      </c>
      <c r="C44" s="1" t="s">
        <v>38</v>
      </c>
      <c r="D44" t="s">
        <v>37</v>
      </c>
      <c r="E44" t="s">
        <v>40</v>
      </c>
    </row>
    <row r="45" spans="1:5" ht="20.100000000000001" customHeight="1" x14ac:dyDescent="0.3">
      <c r="A45" t="s">
        <v>165</v>
      </c>
      <c r="B45" t="s">
        <v>166</v>
      </c>
      <c r="C45" s="1" t="s">
        <v>248</v>
      </c>
      <c r="D45" t="s">
        <v>168</v>
      </c>
      <c r="E45" t="s">
        <v>20</v>
      </c>
    </row>
    <row r="46" spans="1:5" ht="20.100000000000001" customHeight="1" x14ac:dyDescent="0.3">
      <c r="A46" t="s">
        <v>169</v>
      </c>
      <c r="B46" t="s">
        <v>170</v>
      </c>
      <c r="C46" s="1" t="s">
        <v>248</v>
      </c>
      <c r="D46" t="s">
        <v>37</v>
      </c>
      <c r="E46" t="s">
        <v>40</v>
      </c>
    </row>
    <row r="47" spans="1:5" ht="20.100000000000001" customHeight="1" x14ac:dyDescent="0.3">
      <c r="A47" t="s">
        <v>172</v>
      </c>
      <c r="B47" t="s">
        <v>173</v>
      </c>
      <c r="C47" s="1" t="s">
        <v>248</v>
      </c>
      <c r="D47" t="s">
        <v>175</v>
      </c>
      <c r="E47" t="s">
        <v>20</v>
      </c>
    </row>
    <row r="48" spans="1:5" ht="20.100000000000001" customHeight="1" x14ac:dyDescent="0.3">
      <c r="A48" t="s">
        <v>176</v>
      </c>
      <c r="B48" t="s">
        <v>177</v>
      </c>
      <c r="C48" s="1" t="s">
        <v>38</v>
      </c>
      <c r="D48" t="s">
        <v>76</v>
      </c>
      <c r="E48" t="s">
        <v>20</v>
      </c>
    </row>
    <row r="49" spans="1:5" ht="20.100000000000001" customHeight="1" x14ac:dyDescent="0.3">
      <c r="A49" t="s">
        <v>179</v>
      </c>
      <c r="B49" t="s">
        <v>180</v>
      </c>
      <c r="C49" s="1" t="s">
        <v>38</v>
      </c>
      <c r="D49" t="s">
        <v>88</v>
      </c>
      <c r="E49" t="s">
        <v>128</v>
      </c>
    </row>
    <row r="50" spans="1:5" ht="20.100000000000001" customHeight="1" x14ac:dyDescent="0.3">
      <c r="A50" t="s">
        <v>182</v>
      </c>
      <c r="B50" t="s">
        <v>183</v>
      </c>
      <c r="C50" s="1" t="s">
        <v>38</v>
      </c>
      <c r="D50" t="s">
        <v>185</v>
      </c>
      <c r="E50" t="s">
        <v>20</v>
      </c>
    </row>
    <row r="51" spans="1:5" ht="20.100000000000001" customHeight="1" x14ac:dyDescent="0.3">
      <c r="A51" t="s">
        <v>186</v>
      </c>
      <c r="B51" t="s">
        <v>187</v>
      </c>
      <c r="C51" s="1" t="s">
        <v>38</v>
      </c>
      <c r="D51" t="s">
        <v>37</v>
      </c>
      <c r="E51" t="s">
        <v>40</v>
      </c>
    </row>
    <row r="52" spans="1:5" ht="20.100000000000001" customHeight="1" x14ac:dyDescent="0.3">
      <c r="A52" t="s">
        <v>190</v>
      </c>
      <c r="B52" t="s">
        <v>191</v>
      </c>
      <c r="C52" s="1" t="s">
        <v>248</v>
      </c>
      <c r="D52" t="s">
        <v>37</v>
      </c>
      <c r="E52" t="s">
        <v>40</v>
      </c>
    </row>
    <row r="53" spans="1:5" ht="20.100000000000001" customHeight="1" x14ac:dyDescent="0.3">
      <c r="A53" t="s">
        <v>193</v>
      </c>
      <c r="B53" t="s">
        <v>194</v>
      </c>
      <c r="C53" s="1" t="s">
        <v>248</v>
      </c>
      <c r="D53" t="s">
        <v>196</v>
      </c>
      <c r="E53" t="s">
        <v>128</v>
      </c>
    </row>
    <row r="54" spans="1:5" ht="20.100000000000001" customHeight="1" x14ac:dyDescent="0.3">
      <c r="A54" t="s">
        <v>197</v>
      </c>
      <c r="B54" t="s">
        <v>198</v>
      </c>
      <c r="C54" s="1" t="s">
        <v>248</v>
      </c>
      <c r="D54" t="s">
        <v>50</v>
      </c>
      <c r="E54" t="s">
        <v>20</v>
      </c>
    </row>
    <row r="55" spans="1:5" ht="20.100000000000001" customHeight="1" x14ac:dyDescent="0.3">
      <c r="A55" t="s">
        <v>201</v>
      </c>
      <c r="B55" t="s">
        <v>202</v>
      </c>
      <c r="C55" s="1" t="s">
        <v>248</v>
      </c>
      <c r="D55" t="s">
        <v>50</v>
      </c>
      <c r="E55" t="s">
        <v>20</v>
      </c>
    </row>
    <row r="56" spans="1:5" ht="20.100000000000001" customHeight="1" x14ac:dyDescent="0.3">
      <c r="A56" t="s">
        <v>204</v>
      </c>
      <c r="B56" t="s">
        <v>205</v>
      </c>
      <c r="C56" s="1" t="s">
        <v>248</v>
      </c>
      <c r="D56" t="s">
        <v>37</v>
      </c>
      <c r="E56" t="s">
        <v>40</v>
      </c>
    </row>
    <row r="57" spans="1:5" ht="20.100000000000001" customHeight="1" x14ac:dyDescent="0.3">
      <c r="A57" t="s">
        <v>207</v>
      </c>
      <c r="B57" t="s">
        <v>208</v>
      </c>
      <c r="C57" s="1" t="s">
        <v>38</v>
      </c>
      <c r="D57" t="s">
        <v>37</v>
      </c>
      <c r="E57" t="s">
        <v>40</v>
      </c>
    </row>
    <row r="58" spans="1:5" ht="20.100000000000001" customHeight="1" x14ac:dyDescent="0.3">
      <c r="A58" t="s">
        <v>210</v>
      </c>
      <c r="B58" t="s">
        <v>211</v>
      </c>
      <c r="C58" s="1" t="s">
        <v>38</v>
      </c>
      <c r="D58" t="s">
        <v>26</v>
      </c>
      <c r="E58" t="s">
        <v>20</v>
      </c>
    </row>
    <row r="59" spans="1:5" ht="20.100000000000001" customHeight="1" x14ac:dyDescent="0.3">
      <c r="A59" t="s">
        <v>213</v>
      </c>
      <c r="B59" t="s">
        <v>214</v>
      </c>
      <c r="C59" s="1" t="s">
        <v>248</v>
      </c>
      <c r="D59" t="s">
        <v>37</v>
      </c>
      <c r="E59" t="s">
        <v>40</v>
      </c>
    </row>
    <row r="60" spans="1:5" ht="20.100000000000001" customHeight="1" x14ac:dyDescent="0.3">
      <c r="A60" t="s">
        <v>216</v>
      </c>
      <c r="B60" t="s">
        <v>217</v>
      </c>
      <c r="C60" s="1" t="s">
        <v>38</v>
      </c>
      <c r="D60" t="s">
        <v>37</v>
      </c>
      <c r="E60" t="s">
        <v>40</v>
      </c>
    </row>
    <row r="65" spans="2:5" ht="20.100000000000001" customHeight="1" x14ac:dyDescent="0.25">
      <c r="B65" s="2" t="s">
        <v>249</v>
      </c>
      <c r="C65" s="2"/>
      <c r="D65" s="2"/>
      <c r="E65" s="2">
        <f>COUNTIF($C$4:$C$67,"M")</f>
        <v>28</v>
      </c>
    </row>
    <row r="66" spans="2:5" ht="20.100000000000001" customHeight="1" x14ac:dyDescent="0.25">
      <c r="B66" s="2" t="s">
        <v>250</v>
      </c>
      <c r="C66" s="2"/>
      <c r="D66" s="2"/>
      <c r="E66" s="2">
        <f>COUNTIF($C$4:$C$67,"F")</f>
        <v>29</v>
      </c>
    </row>
    <row r="67" spans="2:5" ht="20.100000000000001" customHeight="1" x14ac:dyDescent="0.25">
      <c r="B67" s="2" t="s">
        <v>251</v>
      </c>
      <c r="C67" s="2"/>
      <c r="D67" s="2"/>
      <c r="E67" s="2">
        <f>SUM(E65:E66)</f>
        <v>57</v>
      </c>
    </row>
    <row r="68" spans="2:5" ht="20.100000000000001" customHeight="1" x14ac:dyDescent="0.25">
      <c r="B68" s="2"/>
      <c r="C68" s="2"/>
      <c r="D68" s="2"/>
      <c r="E68" s="2"/>
    </row>
    <row r="69" spans="2:5" ht="20.100000000000001" customHeight="1" x14ac:dyDescent="0.25">
      <c r="B69" s="2" t="s">
        <v>252</v>
      </c>
      <c r="C69" s="2"/>
      <c r="D69" s="2"/>
      <c r="E69" s="2">
        <f>COUNTIF($C$4:$C$67,"M")</f>
        <v>28</v>
      </c>
    </row>
    <row r="70" spans="2:5" ht="20.100000000000001" customHeight="1" x14ac:dyDescent="0.25">
      <c r="B70" s="2" t="s">
        <v>253</v>
      </c>
      <c r="C70" s="2"/>
      <c r="D70" s="2"/>
      <c r="E70" s="2">
        <f>COUNTIF($C$4:$C$67,"F")</f>
        <v>29</v>
      </c>
    </row>
    <row r="71" spans="2:5" ht="20.100000000000001" customHeight="1" x14ac:dyDescent="0.25">
      <c r="B71" s="2" t="s">
        <v>251</v>
      </c>
      <c r="C71" s="2"/>
      <c r="D71" s="2"/>
      <c r="E71" s="2">
        <f>SUM(E69:E70)</f>
        <v>57</v>
      </c>
    </row>
    <row r="72" spans="2:5" ht="20.100000000000001" customHeight="1" x14ac:dyDescent="0.25">
      <c r="B72" s="2"/>
      <c r="C72" s="2"/>
      <c r="D72" s="2"/>
      <c r="E72" s="2"/>
    </row>
    <row r="73" spans="2:5" ht="20.100000000000001" customHeight="1" x14ac:dyDescent="0.25">
      <c r="B73" s="2" t="s">
        <v>254</v>
      </c>
      <c r="C73" s="2"/>
      <c r="D73" s="2"/>
      <c r="E73" s="2">
        <f>COUNTIFS($C$4:$C$67,"M",$E$4:$E$67,"Distinction")</f>
        <v>0</v>
      </c>
    </row>
    <row r="74" spans="2:5" ht="20.100000000000001" customHeight="1" x14ac:dyDescent="0.25">
      <c r="B74" s="2" t="s">
        <v>255</v>
      </c>
      <c r="C74" s="2"/>
      <c r="D74" s="2"/>
      <c r="E74" s="2">
        <f>COUNTIFS($C$4:$C$67,"M",$E$4:$E$67,"Very Good")</f>
        <v>3</v>
      </c>
    </row>
    <row r="75" spans="2:5" ht="20.100000000000001" customHeight="1" x14ac:dyDescent="0.25">
      <c r="B75" s="2" t="s">
        <v>256</v>
      </c>
      <c r="C75" s="2"/>
      <c r="D75" s="2"/>
      <c r="E75" s="2">
        <f>COUNTIFS($C$4:$C$67,"M",$E$4:$E$67,"First Division")</f>
        <v>17</v>
      </c>
    </row>
    <row r="76" spans="2:5" ht="20.100000000000001" customHeight="1" x14ac:dyDescent="0.25">
      <c r="B76" s="2" t="s">
        <v>257</v>
      </c>
      <c r="C76" s="2"/>
      <c r="D76" s="2"/>
      <c r="E76" s="2">
        <f>COUNTIFS($C$4:$C$67,"M",$E$4:$E$67,"Second Division")</f>
        <v>0</v>
      </c>
    </row>
    <row r="77" spans="2:5" ht="20.100000000000001" customHeight="1" x14ac:dyDescent="0.25">
      <c r="B77" s="2" t="s">
        <v>258</v>
      </c>
      <c r="C77" s="2"/>
      <c r="D77" s="2"/>
      <c r="E77" s="2">
        <f>COUNTIFS($C$4:$C$67,"M",$E$4:$E$67,"Third Division")</f>
        <v>0</v>
      </c>
    </row>
    <row r="78" spans="2:5" ht="20.100000000000001" customHeight="1" x14ac:dyDescent="0.25">
      <c r="B78" s="3" t="s">
        <v>259</v>
      </c>
      <c r="C78" s="3"/>
      <c r="D78" s="3"/>
      <c r="E78" s="3">
        <f>SUM(E73:E77)</f>
        <v>20</v>
      </c>
    </row>
    <row r="79" spans="2:5" ht="20.100000000000001" customHeight="1" x14ac:dyDescent="0.25">
      <c r="B79" s="2"/>
      <c r="C79" s="2"/>
      <c r="D79" s="2"/>
      <c r="E79" s="2"/>
    </row>
    <row r="80" spans="2:5" ht="20.100000000000001" customHeight="1" x14ac:dyDescent="0.25">
      <c r="B80" s="2" t="s">
        <v>260</v>
      </c>
      <c r="C80" s="2"/>
      <c r="D80" s="2"/>
      <c r="E80" s="2">
        <f>COUNTIFS($C$4:$C$67,"F",$E$4:$E$67,"Distinction")</f>
        <v>0</v>
      </c>
    </row>
    <row r="81" spans="2:5" ht="20.100000000000001" customHeight="1" x14ac:dyDescent="0.25">
      <c r="B81" s="2" t="s">
        <v>261</v>
      </c>
      <c r="C81" s="2"/>
      <c r="D81" s="2"/>
      <c r="E81" s="2">
        <f>COUNTIFS($C$4:$C$67,"F",$E$4:$E$67,"Very Good")</f>
        <v>8</v>
      </c>
    </row>
    <row r="82" spans="2:5" ht="20.100000000000001" customHeight="1" x14ac:dyDescent="0.25">
      <c r="B82" s="2" t="s">
        <v>262</v>
      </c>
      <c r="C82" s="2"/>
      <c r="D82" s="2"/>
      <c r="E82" s="2">
        <f>COUNTIFS($C$4:$C$67,"F",$E$4:$E$67,"First Division")</f>
        <v>15</v>
      </c>
    </row>
    <row r="83" spans="2:5" ht="20.100000000000001" customHeight="1" x14ac:dyDescent="0.25">
      <c r="B83" s="2" t="s">
        <v>263</v>
      </c>
      <c r="C83" s="2"/>
      <c r="D83" s="2"/>
      <c r="E83" s="2">
        <f>COUNTIFS($C$4:$C$67,"F",$E$4:$E$67,"Second Division")</f>
        <v>0</v>
      </c>
    </row>
    <row r="84" spans="2:5" ht="20.100000000000001" customHeight="1" x14ac:dyDescent="0.25">
      <c r="B84" s="2" t="s">
        <v>264</v>
      </c>
      <c r="C84" s="2"/>
      <c r="D84" s="2"/>
      <c r="E84" s="2">
        <f>COUNTIFS($C$4:$C$67,"F",$E$4:$E$67,"Third Division")</f>
        <v>0</v>
      </c>
    </row>
    <row r="85" spans="2:5" ht="20.100000000000001" customHeight="1" x14ac:dyDescent="0.25">
      <c r="B85" s="3" t="s">
        <v>265</v>
      </c>
      <c r="C85" s="3"/>
      <c r="D85" s="3"/>
      <c r="E85" s="3">
        <f>SUM(E80:E84)</f>
        <v>23</v>
      </c>
    </row>
    <row r="86" spans="2:5" ht="20.100000000000001" customHeight="1" x14ac:dyDescent="0.25">
      <c r="B86" s="2"/>
      <c r="C86" s="2"/>
      <c r="D86" s="2"/>
      <c r="E86" s="2"/>
    </row>
    <row r="87" spans="2:5" ht="20.100000000000001" customHeight="1" x14ac:dyDescent="0.25">
      <c r="B87" s="2"/>
      <c r="C87" s="2"/>
      <c r="D87" s="2"/>
      <c r="E87" s="2"/>
    </row>
    <row r="88" spans="2:5" ht="20.100000000000001" customHeight="1" x14ac:dyDescent="0.25">
      <c r="B88" s="2" t="s">
        <v>266</v>
      </c>
      <c r="C88" s="2"/>
      <c r="D88" s="2"/>
      <c r="E88" s="2">
        <f>COUNTIFS($C$4:$C$67,"M",$E$4:$E$67,"&lt;&gt;Fail",$E$4:$E$67,"&lt;&gt;Dropout")</f>
        <v>20</v>
      </c>
    </row>
    <row r="89" spans="2:5" ht="20.100000000000001" customHeight="1" x14ac:dyDescent="0.25">
      <c r="B89" s="2" t="s">
        <v>267</v>
      </c>
      <c r="C89" s="2"/>
      <c r="D89" s="2"/>
      <c r="E89" s="2">
        <f>COUNTIFS($C$4:$C$67,"F",$E$4:$E$67,"&lt;&gt;Fail",$E$4:$E$67,"&lt;&gt;Dropout")</f>
        <v>23</v>
      </c>
    </row>
    <row r="90" spans="2:5" ht="20.100000000000001" customHeight="1" x14ac:dyDescent="0.25">
      <c r="B90" s="2" t="s">
        <v>268</v>
      </c>
      <c r="C90" s="2"/>
      <c r="D90" s="2"/>
      <c r="E90" s="2">
        <f>SUM(E88:E89)</f>
        <v>43</v>
      </c>
    </row>
    <row r="91" spans="2:5" ht="20.100000000000001" customHeight="1" x14ac:dyDescent="0.25">
      <c r="B91" s="2"/>
      <c r="C91" s="2"/>
      <c r="D91" s="2"/>
      <c r="E91" s="2"/>
    </row>
    <row r="92" spans="2:5" ht="20.100000000000001" customHeight="1" x14ac:dyDescent="0.25">
      <c r="B92" s="2" t="s">
        <v>269</v>
      </c>
      <c r="C92" s="2"/>
      <c r="D92" s="2"/>
      <c r="E92" s="2">
        <f>E88/E69 *100</f>
        <v>71.428571428571431</v>
      </c>
    </row>
    <row r="93" spans="2:5" ht="20.100000000000001" customHeight="1" x14ac:dyDescent="0.25">
      <c r="B93" s="2" t="s">
        <v>270</v>
      </c>
      <c r="C93" s="2"/>
      <c r="D93" s="2"/>
      <c r="E93" s="2">
        <f>E89/E70 *100</f>
        <v>79.310344827586206</v>
      </c>
    </row>
    <row r="94" spans="2:5" ht="20.100000000000001" customHeight="1" x14ac:dyDescent="0.25">
      <c r="B94" s="2" t="s">
        <v>271</v>
      </c>
      <c r="C94" s="2"/>
      <c r="D94" s="2"/>
      <c r="E94" s="2">
        <f>E90/E71*100</f>
        <v>75.438596491228068</v>
      </c>
    </row>
    <row r="95" spans="2:5" ht="20.100000000000001" customHeight="1" x14ac:dyDescent="0.25">
      <c r="B95" s="2"/>
      <c r="C95" s="2"/>
      <c r="D95" s="2"/>
      <c r="E95" s="2"/>
    </row>
    <row r="96" spans="2:5" ht="20.100000000000001" customHeight="1" x14ac:dyDescent="0.25">
      <c r="B96" s="2" t="s">
        <v>272</v>
      </c>
      <c r="C96" s="2"/>
      <c r="D96" s="2"/>
      <c r="E96" s="2">
        <f>COUNTIFS($C$4:$C$67,"M",$E$4:$E$67,"Fail")</f>
        <v>8</v>
      </c>
    </row>
    <row r="97" spans="2:5" ht="20.100000000000001" customHeight="1" x14ac:dyDescent="0.25">
      <c r="B97" s="2" t="s">
        <v>273</v>
      </c>
      <c r="C97" s="2"/>
      <c r="D97" s="2"/>
      <c r="E97" s="2">
        <f>COUNTIFS($C$4:$C$67,"F",$E$4:$E$67,"Fail")</f>
        <v>6</v>
      </c>
    </row>
    <row r="98" spans="2:5" ht="20.100000000000001" customHeight="1" x14ac:dyDescent="0.25">
      <c r="B98" s="2" t="s">
        <v>274</v>
      </c>
      <c r="C98" s="2"/>
      <c r="D98" s="2"/>
      <c r="E98" s="2">
        <f>SUM(E96:E97)</f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94509-6D92-4598-87D9-7BF944F887FD}">
  <dimension ref="A1:P58"/>
  <sheetViews>
    <sheetView workbookViewId="0">
      <selection sqref="A1:XFD1"/>
    </sheetView>
  </sheetViews>
  <sheetFormatPr defaultRowHeight="15" x14ac:dyDescent="0.25"/>
  <cols>
    <col min="1" max="1" width="11.140625" bestFit="1" customWidth="1"/>
    <col min="2" max="2" width="20.28515625" bestFit="1" customWidth="1"/>
    <col min="3" max="3" width="14" bestFit="1" customWidth="1"/>
    <col min="4" max="9" width="11.140625" bestFit="1" customWidth="1"/>
    <col min="10" max="15" width="12.140625" bestFit="1" customWidth="1"/>
    <col min="16" max="16" width="12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239</v>
      </c>
      <c r="G1" t="s">
        <v>240</v>
      </c>
      <c r="H1" t="s">
        <v>241</v>
      </c>
      <c r="I1" t="s">
        <v>242</v>
      </c>
      <c r="J1" t="s">
        <v>243</v>
      </c>
      <c r="K1" t="s">
        <v>244</v>
      </c>
      <c r="L1" t="s">
        <v>245</v>
      </c>
      <c r="M1" t="s">
        <v>246</v>
      </c>
      <c r="N1" t="s">
        <v>5</v>
      </c>
      <c r="O1" t="s">
        <v>6</v>
      </c>
      <c r="P1" t="s">
        <v>7</v>
      </c>
    </row>
    <row r="2" spans="1:16" x14ac:dyDescent="0.25">
      <c r="A2" t="s">
        <v>219</v>
      </c>
      <c r="B2" t="s">
        <v>220</v>
      </c>
      <c r="C2" t="s">
        <v>221</v>
      </c>
      <c r="D2">
        <v>3.76</v>
      </c>
      <c r="E2" t="s">
        <v>18</v>
      </c>
      <c r="F2" t="s">
        <v>17</v>
      </c>
      <c r="G2" t="s">
        <v>18</v>
      </c>
      <c r="H2">
        <v>3.5</v>
      </c>
      <c r="I2" t="s">
        <v>12</v>
      </c>
      <c r="J2" t="s">
        <v>33</v>
      </c>
      <c r="K2" t="s">
        <v>12</v>
      </c>
      <c r="L2">
        <v>3.73</v>
      </c>
      <c r="M2" t="s">
        <v>18</v>
      </c>
      <c r="N2" t="s">
        <v>49</v>
      </c>
      <c r="O2" t="s">
        <v>12</v>
      </c>
      <c r="P2" t="s">
        <v>20</v>
      </c>
    </row>
    <row r="3" spans="1:16" x14ac:dyDescent="0.25">
      <c r="A3" t="s">
        <v>222</v>
      </c>
      <c r="B3" t="s">
        <v>223</v>
      </c>
      <c r="C3" t="s">
        <v>224</v>
      </c>
      <c r="D3">
        <v>3.54</v>
      </c>
      <c r="E3" t="s">
        <v>12</v>
      </c>
      <c r="F3" t="s">
        <v>51</v>
      </c>
      <c r="G3" t="s">
        <v>52</v>
      </c>
      <c r="H3">
        <v>3.91</v>
      </c>
      <c r="I3" t="s">
        <v>18</v>
      </c>
      <c r="J3" t="s">
        <v>51</v>
      </c>
      <c r="K3" t="s">
        <v>52</v>
      </c>
      <c r="L3">
        <v>4</v>
      </c>
      <c r="M3" t="s">
        <v>52</v>
      </c>
      <c r="N3" t="s">
        <v>132</v>
      </c>
      <c r="O3" t="s">
        <v>18</v>
      </c>
      <c r="P3" t="s">
        <v>128</v>
      </c>
    </row>
    <row r="4" spans="1:16" x14ac:dyDescent="0.25">
      <c r="A4" t="s">
        <v>225</v>
      </c>
      <c r="B4" t="s">
        <v>226</v>
      </c>
      <c r="C4" t="s">
        <v>227</v>
      </c>
      <c r="D4">
        <v>3.38</v>
      </c>
      <c r="E4" t="s">
        <v>12</v>
      </c>
      <c r="F4" t="s">
        <v>60</v>
      </c>
      <c r="G4" t="s">
        <v>18</v>
      </c>
      <c r="H4">
        <v>3.38</v>
      </c>
      <c r="I4" t="s">
        <v>12</v>
      </c>
      <c r="J4" t="s">
        <v>49</v>
      </c>
      <c r="K4" t="s">
        <v>12</v>
      </c>
      <c r="L4">
        <v>3.88</v>
      </c>
      <c r="M4" t="s">
        <v>18</v>
      </c>
      <c r="N4" t="s">
        <v>26</v>
      </c>
      <c r="O4" t="s">
        <v>12</v>
      </c>
      <c r="P4" t="s">
        <v>20</v>
      </c>
    </row>
    <row r="5" spans="1:16" x14ac:dyDescent="0.25">
      <c r="A5" t="s">
        <v>228</v>
      </c>
      <c r="B5" t="s">
        <v>229</v>
      </c>
      <c r="C5" t="s">
        <v>230</v>
      </c>
      <c r="D5">
        <v>3.38</v>
      </c>
      <c r="E5" t="s">
        <v>12</v>
      </c>
      <c r="F5" t="s">
        <v>15</v>
      </c>
      <c r="G5" t="s">
        <v>12</v>
      </c>
      <c r="H5">
        <v>3.7</v>
      </c>
      <c r="I5" t="s">
        <v>18</v>
      </c>
      <c r="J5" t="s">
        <v>16</v>
      </c>
      <c r="K5" t="s">
        <v>14</v>
      </c>
      <c r="L5">
        <v>3.42</v>
      </c>
      <c r="M5" t="s">
        <v>12</v>
      </c>
      <c r="N5" t="s">
        <v>231</v>
      </c>
      <c r="O5" t="s">
        <v>12</v>
      </c>
      <c r="P5" t="s">
        <v>20</v>
      </c>
    </row>
    <row r="6" spans="1:16" x14ac:dyDescent="0.25">
      <c r="A6" t="s">
        <v>232</v>
      </c>
      <c r="B6" t="s">
        <v>233</v>
      </c>
      <c r="C6" t="s">
        <v>234</v>
      </c>
      <c r="D6">
        <v>3.09</v>
      </c>
      <c r="E6" t="s">
        <v>14</v>
      </c>
      <c r="F6" t="s">
        <v>37</v>
      </c>
      <c r="G6" t="s">
        <v>38</v>
      </c>
      <c r="H6">
        <v>3.12</v>
      </c>
      <c r="I6" t="s">
        <v>14</v>
      </c>
      <c r="J6" t="s">
        <v>37</v>
      </c>
      <c r="K6" t="s">
        <v>38</v>
      </c>
      <c r="L6">
        <v>3.09</v>
      </c>
      <c r="M6" t="s">
        <v>14</v>
      </c>
      <c r="N6" t="s">
        <v>37</v>
      </c>
      <c r="O6" t="s">
        <v>38</v>
      </c>
      <c r="P6" t="s">
        <v>40</v>
      </c>
    </row>
    <row r="7" spans="1:16" x14ac:dyDescent="0.25">
      <c r="A7" t="s">
        <v>235</v>
      </c>
      <c r="B7" t="s">
        <v>236</v>
      </c>
      <c r="C7" t="s">
        <v>237</v>
      </c>
      <c r="D7">
        <v>3.58</v>
      </c>
      <c r="E7" t="s">
        <v>12</v>
      </c>
      <c r="F7" t="s">
        <v>24</v>
      </c>
      <c r="G7" t="s">
        <v>12</v>
      </c>
      <c r="H7">
        <v>3.3</v>
      </c>
      <c r="I7" t="s">
        <v>12</v>
      </c>
      <c r="J7" t="s">
        <v>30</v>
      </c>
      <c r="K7" t="s">
        <v>12</v>
      </c>
      <c r="L7">
        <v>3.76</v>
      </c>
      <c r="M7" t="s">
        <v>18</v>
      </c>
      <c r="N7" t="s">
        <v>238</v>
      </c>
      <c r="O7" t="s">
        <v>12</v>
      </c>
      <c r="P7" t="s">
        <v>20</v>
      </c>
    </row>
    <row r="8" spans="1:16" x14ac:dyDescent="0.25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12</v>
      </c>
      <c r="J8" t="s">
        <v>16</v>
      </c>
      <c r="K8" t="s">
        <v>14</v>
      </c>
      <c r="L8" t="s">
        <v>17</v>
      </c>
      <c r="M8" t="s">
        <v>18</v>
      </c>
      <c r="N8" t="s">
        <v>19</v>
      </c>
      <c r="O8" t="s">
        <v>12</v>
      </c>
      <c r="P8" t="s">
        <v>20</v>
      </c>
    </row>
    <row r="9" spans="1:16" x14ac:dyDescent="0.25">
      <c r="A9" t="s">
        <v>21</v>
      </c>
      <c r="B9" t="s">
        <v>22</v>
      </c>
      <c r="C9" t="s">
        <v>23</v>
      </c>
      <c r="D9" t="s">
        <v>24</v>
      </c>
      <c r="E9" t="s">
        <v>12</v>
      </c>
      <c r="F9" t="s">
        <v>24</v>
      </c>
      <c r="G9" t="s">
        <v>12</v>
      </c>
      <c r="H9" t="s">
        <v>25</v>
      </c>
      <c r="I9" t="s">
        <v>18</v>
      </c>
      <c r="J9" t="s">
        <v>24</v>
      </c>
      <c r="K9" t="s">
        <v>12</v>
      </c>
      <c r="L9" t="s">
        <v>11</v>
      </c>
      <c r="M9" t="s">
        <v>12</v>
      </c>
      <c r="N9" t="s">
        <v>26</v>
      </c>
      <c r="O9" t="s">
        <v>12</v>
      </c>
      <c r="P9" t="s">
        <v>20</v>
      </c>
    </row>
    <row r="10" spans="1:16" x14ac:dyDescent="0.25">
      <c r="A10" t="s">
        <v>27</v>
      </c>
      <c r="B10" t="s">
        <v>28</v>
      </c>
      <c r="C10" t="s">
        <v>29</v>
      </c>
      <c r="D10" t="s">
        <v>30</v>
      </c>
      <c r="E10" t="s">
        <v>12</v>
      </c>
      <c r="F10" t="s">
        <v>31</v>
      </c>
      <c r="G10" t="s">
        <v>14</v>
      </c>
      <c r="H10" t="s">
        <v>30</v>
      </c>
      <c r="I10" t="s">
        <v>12</v>
      </c>
      <c r="J10" t="s">
        <v>15</v>
      </c>
      <c r="K10" t="s">
        <v>12</v>
      </c>
      <c r="L10" t="s">
        <v>32</v>
      </c>
      <c r="M10" t="s">
        <v>18</v>
      </c>
      <c r="N10" t="s">
        <v>33</v>
      </c>
      <c r="O10" t="s">
        <v>12</v>
      </c>
      <c r="P10" t="s">
        <v>20</v>
      </c>
    </row>
    <row r="11" spans="1:16" x14ac:dyDescent="0.25">
      <c r="A11" t="s">
        <v>34</v>
      </c>
      <c r="B11" t="s">
        <v>35</v>
      </c>
      <c r="C11" t="s">
        <v>36</v>
      </c>
      <c r="D11" t="s">
        <v>15</v>
      </c>
      <c r="E11" t="s">
        <v>12</v>
      </c>
      <c r="F11" t="s">
        <v>37</v>
      </c>
      <c r="G11" t="s">
        <v>38</v>
      </c>
      <c r="H11" t="s">
        <v>39</v>
      </c>
      <c r="I11" t="s">
        <v>14</v>
      </c>
      <c r="J11" t="s">
        <v>37</v>
      </c>
      <c r="K11" t="s">
        <v>38</v>
      </c>
      <c r="L11" t="s">
        <v>31</v>
      </c>
      <c r="M11" t="s">
        <v>14</v>
      </c>
      <c r="N11" t="s">
        <v>37</v>
      </c>
      <c r="O11" t="s">
        <v>38</v>
      </c>
      <c r="P11" t="s">
        <v>40</v>
      </c>
    </row>
    <row r="12" spans="1:16" x14ac:dyDescent="0.25">
      <c r="A12" t="s">
        <v>41</v>
      </c>
      <c r="B12" t="s">
        <v>42</v>
      </c>
      <c r="C12" t="s">
        <v>43</v>
      </c>
      <c r="D12" t="s">
        <v>24</v>
      </c>
      <c r="E12" t="s">
        <v>12</v>
      </c>
      <c r="F12" t="s">
        <v>30</v>
      </c>
      <c r="G12" t="s">
        <v>12</v>
      </c>
      <c r="H12" t="s">
        <v>13</v>
      </c>
      <c r="I12" t="s">
        <v>14</v>
      </c>
      <c r="J12" t="s">
        <v>16</v>
      </c>
      <c r="K12" t="s">
        <v>14</v>
      </c>
      <c r="L12" t="s">
        <v>44</v>
      </c>
      <c r="M12" t="s">
        <v>18</v>
      </c>
      <c r="N12" t="s">
        <v>45</v>
      </c>
      <c r="O12" t="s">
        <v>12</v>
      </c>
      <c r="P12" t="s">
        <v>20</v>
      </c>
    </row>
    <row r="13" spans="1:16" x14ac:dyDescent="0.25">
      <c r="A13" t="s">
        <v>46</v>
      </c>
      <c r="B13" t="s">
        <v>47</v>
      </c>
      <c r="C13" t="s">
        <v>48</v>
      </c>
      <c r="D13" t="s">
        <v>49</v>
      </c>
      <c r="E13" t="s">
        <v>12</v>
      </c>
      <c r="F13" t="s">
        <v>33</v>
      </c>
      <c r="G13" t="s">
        <v>12</v>
      </c>
      <c r="H13" t="s">
        <v>31</v>
      </c>
      <c r="I13" t="s">
        <v>14</v>
      </c>
      <c r="J13" t="s">
        <v>50</v>
      </c>
      <c r="K13" t="s">
        <v>12</v>
      </c>
      <c r="L13" t="s">
        <v>51</v>
      </c>
      <c r="M13" t="s">
        <v>52</v>
      </c>
      <c r="N13" t="s">
        <v>53</v>
      </c>
      <c r="O13" t="s">
        <v>12</v>
      </c>
      <c r="P13" t="s">
        <v>20</v>
      </c>
    </row>
    <row r="14" spans="1:16" x14ac:dyDescent="0.25">
      <c r="A14" t="s">
        <v>54</v>
      </c>
      <c r="B14" t="s">
        <v>55</v>
      </c>
      <c r="C14" t="s">
        <v>56</v>
      </c>
      <c r="D14" t="s">
        <v>53</v>
      </c>
      <c r="E14" t="s">
        <v>12</v>
      </c>
      <c r="F14" t="s">
        <v>32</v>
      </c>
      <c r="G14" t="s">
        <v>18</v>
      </c>
      <c r="H14" t="s">
        <v>49</v>
      </c>
      <c r="I14" t="s">
        <v>12</v>
      </c>
      <c r="J14" t="s">
        <v>15</v>
      </c>
      <c r="K14" t="s">
        <v>12</v>
      </c>
      <c r="L14" t="s">
        <v>25</v>
      </c>
      <c r="M14" t="s">
        <v>18</v>
      </c>
      <c r="N14" t="s">
        <v>26</v>
      </c>
      <c r="O14" t="s">
        <v>12</v>
      </c>
      <c r="P14" t="s">
        <v>20</v>
      </c>
    </row>
    <row r="15" spans="1:16" x14ac:dyDescent="0.25">
      <c r="A15" t="s">
        <v>57</v>
      </c>
      <c r="B15" t="s">
        <v>58</v>
      </c>
      <c r="C15" t="s">
        <v>59</v>
      </c>
      <c r="D15" t="s">
        <v>25</v>
      </c>
      <c r="E15" t="s">
        <v>18</v>
      </c>
      <c r="F15" t="s">
        <v>60</v>
      </c>
      <c r="G15" t="s">
        <v>18</v>
      </c>
      <c r="H15" t="s">
        <v>19</v>
      </c>
      <c r="I15" t="s">
        <v>12</v>
      </c>
      <c r="J15" t="s">
        <v>61</v>
      </c>
      <c r="K15" t="s">
        <v>14</v>
      </c>
      <c r="L15" t="s">
        <v>62</v>
      </c>
      <c r="M15" t="s">
        <v>18</v>
      </c>
      <c r="N15" t="s">
        <v>63</v>
      </c>
      <c r="O15" t="s">
        <v>12</v>
      </c>
      <c r="P15" t="s">
        <v>20</v>
      </c>
    </row>
    <row r="16" spans="1:16" x14ac:dyDescent="0.25">
      <c r="A16" t="s">
        <v>64</v>
      </c>
      <c r="B16" t="s">
        <v>65</v>
      </c>
      <c r="C16" t="s">
        <v>66</v>
      </c>
      <c r="D16" t="s">
        <v>25</v>
      </c>
      <c r="E16" t="s">
        <v>18</v>
      </c>
      <c r="F16" t="s">
        <v>62</v>
      </c>
      <c r="G16" t="s">
        <v>18</v>
      </c>
      <c r="H16" t="s">
        <v>24</v>
      </c>
      <c r="I16" t="s">
        <v>12</v>
      </c>
      <c r="J16" t="s">
        <v>13</v>
      </c>
      <c r="K16" t="s">
        <v>14</v>
      </c>
      <c r="L16" t="s">
        <v>67</v>
      </c>
      <c r="M16" t="s">
        <v>18</v>
      </c>
      <c r="N16" t="s">
        <v>68</v>
      </c>
      <c r="O16" t="s">
        <v>12</v>
      </c>
      <c r="P16" t="s">
        <v>20</v>
      </c>
    </row>
    <row r="17" spans="1:16" x14ac:dyDescent="0.25">
      <c r="A17" t="s">
        <v>69</v>
      </c>
      <c r="B17" t="s">
        <v>70</v>
      </c>
      <c r="C17" t="s">
        <v>71</v>
      </c>
      <c r="D17" t="s">
        <v>33</v>
      </c>
      <c r="E17" t="s">
        <v>12</v>
      </c>
      <c r="F17" t="s">
        <v>30</v>
      </c>
      <c r="G17" t="s">
        <v>12</v>
      </c>
      <c r="H17" t="s">
        <v>61</v>
      </c>
      <c r="I17" t="s">
        <v>14</v>
      </c>
      <c r="J17" t="s">
        <v>15</v>
      </c>
      <c r="K17" t="s">
        <v>12</v>
      </c>
      <c r="L17" t="s">
        <v>11</v>
      </c>
      <c r="M17" t="s">
        <v>12</v>
      </c>
      <c r="N17" t="s">
        <v>72</v>
      </c>
      <c r="O17" t="s">
        <v>12</v>
      </c>
      <c r="P17" t="s">
        <v>20</v>
      </c>
    </row>
    <row r="18" spans="1:16" x14ac:dyDescent="0.25">
      <c r="A18" t="s">
        <v>73</v>
      </c>
      <c r="B18" t="s">
        <v>74</v>
      </c>
      <c r="C18" t="s">
        <v>75</v>
      </c>
      <c r="D18" t="s">
        <v>17</v>
      </c>
      <c r="E18" t="s">
        <v>18</v>
      </c>
      <c r="F18" t="s">
        <v>49</v>
      </c>
      <c r="G18" t="s">
        <v>12</v>
      </c>
      <c r="H18" t="s">
        <v>49</v>
      </c>
      <c r="I18" t="s">
        <v>12</v>
      </c>
      <c r="J18" t="s">
        <v>15</v>
      </c>
      <c r="K18" t="s">
        <v>12</v>
      </c>
      <c r="L18" t="s">
        <v>44</v>
      </c>
      <c r="M18" t="s">
        <v>18</v>
      </c>
      <c r="N18" t="s">
        <v>76</v>
      </c>
      <c r="O18" t="s">
        <v>12</v>
      </c>
      <c r="P18" t="s">
        <v>20</v>
      </c>
    </row>
    <row r="19" spans="1:16" x14ac:dyDescent="0.25">
      <c r="A19" t="s">
        <v>77</v>
      </c>
      <c r="B19" t="s">
        <v>78</v>
      </c>
      <c r="C19" t="s">
        <v>79</v>
      </c>
      <c r="D19" t="s">
        <v>61</v>
      </c>
      <c r="E19" t="s">
        <v>14</v>
      </c>
      <c r="F19" t="s">
        <v>49</v>
      </c>
      <c r="G19" t="s">
        <v>12</v>
      </c>
      <c r="H19" t="s">
        <v>31</v>
      </c>
      <c r="I19" t="s">
        <v>14</v>
      </c>
      <c r="J19" t="s">
        <v>33</v>
      </c>
      <c r="K19" t="s">
        <v>12</v>
      </c>
      <c r="L19" t="s">
        <v>80</v>
      </c>
      <c r="M19" t="s">
        <v>12</v>
      </c>
      <c r="N19" t="s">
        <v>19</v>
      </c>
      <c r="O19" t="s">
        <v>12</v>
      </c>
      <c r="P19" t="s">
        <v>20</v>
      </c>
    </row>
    <row r="20" spans="1:16" x14ac:dyDescent="0.25">
      <c r="A20" t="s">
        <v>81</v>
      </c>
      <c r="B20" t="s">
        <v>82</v>
      </c>
      <c r="C20" t="s">
        <v>83</v>
      </c>
      <c r="D20" t="s">
        <v>31</v>
      </c>
      <c r="E20" t="s">
        <v>14</v>
      </c>
      <c r="F20" t="s">
        <v>31</v>
      </c>
      <c r="G20" t="s">
        <v>14</v>
      </c>
      <c r="H20" t="s">
        <v>31</v>
      </c>
      <c r="I20" t="s">
        <v>14</v>
      </c>
      <c r="J20" t="s">
        <v>15</v>
      </c>
      <c r="K20" t="s">
        <v>12</v>
      </c>
      <c r="L20" t="s">
        <v>53</v>
      </c>
      <c r="M20" t="s">
        <v>12</v>
      </c>
      <c r="N20" t="s">
        <v>84</v>
      </c>
      <c r="O20" t="s">
        <v>12</v>
      </c>
      <c r="P20" t="s">
        <v>20</v>
      </c>
    </row>
    <row r="21" spans="1:16" x14ac:dyDescent="0.25">
      <c r="A21" t="s">
        <v>85</v>
      </c>
      <c r="B21" t="s">
        <v>86</v>
      </c>
      <c r="C21" t="s">
        <v>87</v>
      </c>
      <c r="D21" t="s">
        <v>24</v>
      </c>
      <c r="E21" t="s">
        <v>12</v>
      </c>
      <c r="F21" t="s">
        <v>24</v>
      </c>
      <c r="G21" t="s">
        <v>12</v>
      </c>
      <c r="H21" t="s">
        <v>50</v>
      </c>
      <c r="I21" t="s">
        <v>12</v>
      </c>
      <c r="J21" t="s">
        <v>19</v>
      </c>
      <c r="K21" t="s">
        <v>12</v>
      </c>
      <c r="L21" t="s">
        <v>88</v>
      </c>
      <c r="M21" t="s">
        <v>18</v>
      </c>
      <c r="N21" t="s">
        <v>89</v>
      </c>
      <c r="O21" t="s">
        <v>12</v>
      </c>
      <c r="P21" t="s">
        <v>20</v>
      </c>
    </row>
    <row r="22" spans="1:16" x14ac:dyDescent="0.25">
      <c r="A22" t="s">
        <v>90</v>
      </c>
      <c r="B22" t="s">
        <v>91</v>
      </c>
      <c r="C22" t="s">
        <v>92</v>
      </c>
      <c r="D22" t="s">
        <v>49</v>
      </c>
      <c r="E22" t="s">
        <v>12</v>
      </c>
      <c r="F22" t="s">
        <v>32</v>
      </c>
      <c r="G22" t="s">
        <v>18</v>
      </c>
      <c r="H22" t="s">
        <v>39</v>
      </c>
      <c r="I22" t="s">
        <v>14</v>
      </c>
      <c r="J22" t="s">
        <v>60</v>
      </c>
      <c r="K22" t="s">
        <v>18</v>
      </c>
      <c r="L22" t="s">
        <v>44</v>
      </c>
      <c r="M22" t="s">
        <v>18</v>
      </c>
      <c r="N22" t="s">
        <v>49</v>
      </c>
      <c r="O22" t="s">
        <v>12</v>
      </c>
      <c r="P22" t="s">
        <v>20</v>
      </c>
    </row>
    <row r="23" spans="1:16" x14ac:dyDescent="0.25">
      <c r="A23" t="s">
        <v>93</v>
      </c>
      <c r="B23" t="s">
        <v>94</v>
      </c>
      <c r="C23" t="s">
        <v>95</v>
      </c>
      <c r="D23" t="s">
        <v>49</v>
      </c>
      <c r="E23" t="s">
        <v>12</v>
      </c>
      <c r="F23" t="s">
        <v>44</v>
      </c>
      <c r="G23" t="s">
        <v>18</v>
      </c>
      <c r="H23" t="s">
        <v>53</v>
      </c>
      <c r="I23" t="s">
        <v>12</v>
      </c>
      <c r="J23" t="s">
        <v>49</v>
      </c>
      <c r="K23" t="s">
        <v>12</v>
      </c>
      <c r="L23" t="s">
        <v>32</v>
      </c>
      <c r="M23" t="s">
        <v>18</v>
      </c>
      <c r="N23" t="s">
        <v>68</v>
      </c>
      <c r="O23" t="s">
        <v>12</v>
      </c>
      <c r="P23" t="s">
        <v>20</v>
      </c>
    </row>
    <row r="24" spans="1:16" x14ac:dyDescent="0.25">
      <c r="A24" t="s">
        <v>96</v>
      </c>
      <c r="B24" t="s">
        <v>97</v>
      </c>
      <c r="C24" t="s">
        <v>98</v>
      </c>
      <c r="D24" t="s">
        <v>33</v>
      </c>
      <c r="E24" t="s">
        <v>12</v>
      </c>
      <c r="F24" t="s">
        <v>15</v>
      </c>
      <c r="G24" t="s">
        <v>12</v>
      </c>
      <c r="H24" t="s">
        <v>15</v>
      </c>
      <c r="I24" t="s">
        <v>12</v>
      </c>
      <c r="J24" t="s">
        <v>30</v>
      </c>
      <c r="K24" t="s">
        <v>12</v>
      </c>
      <c r="L24" t="s">
        <v>67</v>
      </c>
      <c r="M24" t="s">
        <v>18</v>
      </c>
      <c r="N24" t="s">
        <v>99</v>
      </c>
      <c r="O24" t="s">
        <v>12</v>
      </c>
      <c r="P24" t="s">
        <v>20</v>
      </c>
    </row>
    <row r="25" spans="1:16" x14ac:dyDescent="0.25">
      <c r="A25" t="s">
        <v>100</v>
      </c>
      <c r="B25" t="s">
        <v>101</v>
      </c>
      <c r="C25" t="s">
        <v>102</v>
      </c>
      <c r="D25" t="s">
        <v>49</v>
      </c>
      <c r="E25" t="s">
        <v>12</v>
      </c>
      <c r="F25" t="s">
        <v>25</v>
      </c>
      <c r="G25" t="s">
        <v>18</v>
      </c>
      <c r="H25" t="s">
        <v>15</v>
      </c>
      <c r="I25" t="s">
        <v>12</v>
      </c>
      <c r="J25" t="s">
        <v>30</v>
      </c>
      <c r="K25" t="s">
        <v>12</v>
      </c>
      <c r="L25" t="s">
        <v>51</v>
      </c>
      <c r="M25" t="s">
        <v>52</v>
      </c>
      <c r="N25" t="s">
        <v>49</v>
      </c>
      <c r="O25" t="s">
        <v>12</v>
      </c>
      <c r="P25" t="s">
        <v>20</v>
      </c>
    </row>
    <row r="26" spans="1:16" x14ac:dyDescent="0.25">
      <c r="A26" t="s">
        <v>103</v>
      </c>
      <c r="B26" t="s">
        <v>104</v>
      </c>
      <c r="C26" t="s">
        <v>105</v>
      </c>
      <c r="D26" t="s">
        <v>31</v>
      </c>
      <c r="E26" t="s">
        <v>14</v>
      </c>
      <c r="F26" t="s">
        <v>16</v>
      </c>
      <c r="G26" t="s">
        <v>14</v>
      </c>
      <c r="H26" t="s">
        <v>13</v>
      </c>
      <c r="I26" t="s">
        <v>14</v>
      </c>
      <c r="J26" t="s">
        <v>33</v>
      </c>
      <c r="K26" t="s">
        <v>12</v>
      </c>
      <c r="L26" t="s">
        <v>24</v>
      </c>
      <c r="M26" t="s">
        <v>12</v>
      </c>
      <c r="N26" t="s">
        <v>30</v>
      </c>
      <c r="O26" t="s">
        <v>12</v>
      </c>
      <c r="P26" t="s">
        <v>20</v>
      </c>
    </row>
    <row r="27" spans="1:16" x14ac:dyDescent="0.25">
      <c r="A27" t="s">
        <v>106</v>
      </c>
      <c r="B27" t="s">
        <v>107</v>
      </c>
      <c r="C27" t="s">
        <v>108</v>
      </c>
      <c r="D27" t="s">
        <v>53</v>
      </c>
      <c r="E27" t="s">
        <v>12</v>
      </c>
      <c r="F27" t="s">
        <v>39</v>
      </c>
      <c r="G27" t="s">
        <v>14</v>
      </c>
      <c r="H27" t="s">
        <v>109</v>
      </c>
      <c r="I27" t="s">
        <v>14</v>
      </c>
      <c r="J27" t="s">
        <v>39</v>
      </c>
      <c r="K27" t="s">
        <v>14</v>
      </c>
      <c r="L27" t="s">
        <v>60</v>
      </c>
      <c r="M27" t="s">
        <v>18</v>
      </c>
      <c r="N27" t="s">
        <v>110</v>
      </c>
      <c r="O27" t="s">
        <v>12</v>
      </c>
      <c r="P27" t="s">
        <v>20</v>
      </c>
    </row>
    <row r="28" spans="1:16" x14ac:dyDescent="0.25">
      <c r="A28" t="s">
        <v>111</v>
      </c>
      <c r="B28" t="s">
        <v>112</v>
      </c>
      <c r="C28" t="s">
        <v>113</v>
      </c>
      <c r="D28" t="s">
        <v>32</v>
      </c>
      <c r="E28" t="s">
        <v>18</v>
      </c>
      <c r="F28" t="s">
        <v>24</v>
      </c>
      <c r="G28" t="s">
        <v>12</v>
      </c>
      <c r="H28" t="s">
        <v>60</v>
      </c>
      <c r="I28" t="s">
        <v>18</v>
      </c>
      <c r="J28" t="s">
        <v>30</v>
      </c>
      <c r="K28" t="s">
        <v>12</v>
      </c>
      <c r="L28" t="s">
        <v>51</v>
      </c>
      <c r="M28" t="s">
        <v>52</v>
      </c>
      <c r="N28" t="s">
        <v>114</v>
      </c>
      <c r="O28" t="s">
        <v>12</v>
      </c>
      <c r="P28" t="s">
        <v>20</v>
      </c>
    </row>
    <row r="29" spans="1:16" x14ac:dyDescent="0.25">
      <c r="A29" t="s">
        <v>115</v>
      </c>
      <c r="B29" t="s">
        <v>116</v>
      </c>
      <c r="C29" t="s">
        <v>117</v>
      </c>
      <c r="D29" t="s">
        <v>31</v>
      </c>
      <c r="E29" t="s">
        <v>14</v>
      </c>
      <c r="F29" t="s">
        <v>13</v>
      </c>
      <c r="G29" t="s">
        <v>14</v>
      </c>
      <c r="H29" t="s">
        <v>39</v>
      </c>
      <c r="I29" t="s">
        <v>14</v>
      </c>
      <c r="J29" t="s">
        <v>37</v>
      </c>
      <c r="K29" t="s">
        <v>38</v>
      </c>
      <c r="L29" t="s">
        <v>61</v>
      </c>
      <c r="M29" t="s">
        <v>14</v>
      </c>
      <c r="N29" t="s">
        <v>37</v>
      </c>
      <c r="O29" t="s">
        <v>38</v>
      </c>
      <c r="P29" t="s">
        <v>40</v>
      </c>
    </row>
    <row r="30" spans="1:16" x14ac:dyDescent="0.25">
      <c r="A30" t="s">
        <v>118</v>
      </c>
      <c r="B30" t="s">
        <v>119</v>
      </c>
      <c r="C30" t="s">
        <v>120</v>
      </c>
      <c r="D30" t="s">
        <v>109</v>
      </c>
      <c r="E30" t="s">
        <v>14</v>
      </c>
      <c r="F30" t="s">
        <v>37</v>
      </c>
      <c r="G30" t="s">
        <v>38</v>
      </c>
      <c r="H30" t="s">
        <v>37</v>
      </c>
      <c r="I30" t="s">
        <v>38</v>
      </c>
      <c r="J30" t="s">
        <v>37</v>
      </c>
      <c r="K30" t="s">
        <v>38</v>
      </c>
      <c r="L30" t="s">
        <v>37</v>
      </c>
      <c r="M30" t="s">
        <v>38</v>
      </c>
      <c r="N30" t="s">
        <v>37</v>
      </c>
      <c r="O30" t="s">
        <v>38</v>
      </c>
      <c r="P30" t="s">
        <v>40</v>
      </c>
    </row>
    <row r="31" spans="1:16" x14ac:dyDescent="0.25">
      <c r="A31" t="s">
        <v>121</v>
      </c>
      <c r="B31" t="s">
        <v>122</v>
      </c>
      <c r="C31" t="s">
        <v>123</v>
      </c>
      <c r="D31" t="s">
        <v>30</v>
      </c>
      <c r="E31" t="s">
        <v>12</v>
      </c>
      <c r="F31" t="s">
        <v>13</v>
      </c>
      <c r="G31" t="s">
        <v>14</v>
      </c>
      <c r="H31" t="s">
        <v>109</v>
      </c>
      <c r="I31" t="s">
        <v>14</v>
      </c>
      <c r="J31" t="s">
        <v>37</v>
      </c>
      <c r="K31" t="s">
        <v>38</v>
      </c>
      <c r="L31" t="s">
        <v>33</v>
      </c>
      <c r="M31" t="s">
        <v>12</v>
      </c>
      <c r="N31" t="s">
        <v>37</v>
      </c>
      <c r="O31" t="s">
        <v>38</v>
      </c>
      <c r="P31" t="s">
        <v>40</v>
      </c>
    </row>
    <row r="32" spans="1:16" x14ac:dyDescent="0.25">
      <c r="A32" t="s">
        <v>124</v>
      </c>
      <c r="B32" t="s">
        <v>125</v>
      </c>
      <c r="C32" t="s">
        <v>126</v>
      </c>
      <c r="D32" t="s">
        <v>11</v>
      </c>
      <c r="E32" t="s">
        <v>12</v>
      </c>
      <c r="F32" t="s">
        <v>44</v>
      </c>
      <c r="G32" t="s">
        <v>18</v>
      </c>
      <c r="H32" t="s">
        <v>49</v>
      </c>
      <c r="I32" t="s">
        <v>12</v>
      </c>
      <c r="J32" t="s">
        <v>49</v>
      </c>
      <c r="K32" t="s">
        <v>12</v>
      </c>
      <c r="L32" t="s">
        <v>67</v>
      </c>
      <c r="M32" t="s">
        <v>18</v>
      </c>
      <c r="N32" t="s">
        <v>127</v>
      </c>
      <c r="O32" t="s">
        <v>18</v>
      </c>
      <c r="P32" t="s">
        <v>128</v>
      </c>
    </row>
    <row r="33" spans="1:16" x14ac:dyDescent="0.25">
      <c r="A33" t="s">
        <v>129</v>
      </c>
      <c r="B33" t="s">
        <v>130</v>
      </c>
      <c r="C33" t="s">
        <v>131</v>
      </c>
      <c r="D33" t="s">
        <v>32</v>
      </c>
      <c r="E33" t="s">
        <v>18</v>
      </c>
      <c r="F33" t="s">
        <v>67</v>
      </c>
      <c r="G33" t="s">
        <v>18</v>
      </c>
      <c r="H33" t="s">
        <v>88</v>
      </c>
      <c r="I33" t="s">
        <v>18</v>
      </c>
      <c r="J33" t="s">
        <v>88</v>
      </c>
      <c r="K33" t="s">
        <v>18</v>
      </c>
      <c r="L33" t="s">
        <v>51</v>
      </c>
      <c r="M33" t="s">
        <v>52</v>
      </c>
      <c r="N33" t="s">
        <v>132</v>
      </c>
      <c r="O33" t="s">
        <v>18</v>
      </c>
      <c r="P33" t="s">
        <v>128</v>
      </c>
    </row>
    <row r="34" spans="1:16" x14ac:dyDescent="0.25">
      <c r="A34" t="s">
        <v>133</v>
      </c>
      <c r="B34" t="s">
        <v>134</v>
      </c>
      <c r="C34" t="s">
        <v>135</v>
      </c>
      <c r="D34" t="s">
        <v>53</v>
      </c>
      <c r="E34" t="s">
        <v>12</v>
      </c>
      <c r="F34" t="s">
        <v>44</v>
      </c>
      <c r="G34" t="s">
        <v>18</v>
      </c>
      <c r="H34" t="s">
        <v>49</v>
      </c>
      <c r="I34" t="s">
        <v>12</v>
      </c>
      <c r="J34" t="s">
        <v>24</v>
      </c>
      <c r="K34" t="s">
        <v>12</v>
      </c>
      <c r="L34" t="s">
        <v>51</v>
      </c>
      <c r="M34" t="s">
        <v>52</v>
      </c>
      <c r="N34" t="s">
        <v>32</v>
      </c>
      <c r="O34" t="s">
        <v>18</v>
      </c>
      <c r="P34" t="s">
        <v>128</v>
      </c>
    </row>
    <row r="35" spans="1:16" x14ac:dyDescent="0.25">
      <c r="A35" t="s">
        <v>136</v>
      </c>
      <c r="B35" t="s">
        <v>137</v>
      </c>
      <c r="C35" t="s">
        <v>138</v>
      </c>
      <c r="D35" t="s">
        <v>19</v>
      </c>
      <c r="E35" t="s">
        <v>12</v>
      </c>
      <c r="F35" t="s">
        <v>53</v>
      </c>
      <c r="G35" t="s">
        <v>12</v>
      </c>
      <c r="H35" t="s">
        <v>33</v>
      </c>
      <c r="I35" t="s">
        <v>12</v>
      </c>
      <c r="J35" t="s">
        <v>15</v>
      </c>
      <c r="K35" t="s">
        <v>12</v>
      </c>
      <c r="L35" t="s">
        <v>44</v>
      </c>
      <c r="M35" t="s">
        <v>18</v>
      </c>
      <c r="N35" t="s">
        <v>139</v>
      </c>
      <c r="O35" t="s">
        <v>12</v>
      </c>
      <c r="P35" t="s">
        <v>20</v>
      </c>
    </row>
    <row r="36" spans="1:16" x14ac:dyDescent="0.25">
      <c r="A36" t="s">
        <v>140</v>
      </c>
      <c r="B36" t="s">
        <v>141</v>
      </c>
      <c r="C36" t="s">
        <v>142</v>
      </c>
      <c r="D36" t="s">
        <v>31</v>
      </c>
      <c r="E36" t="s">
        <v>14</v>
      </c>
      <c r="F36" t="s">
        <v>37</v>
      </c>
      <c r="G36" t="s">
        <v>38</v>
      </c>
      <c r="H36" t="s">
        <v>109</v>
      </c>
      <c r="I36" t="s">
        <v>14</v>
      </c>
      <c r="J36" t="s">
        <v>109</v>
      </c>
      <c r="K36" t="s">
        <v>14</v>
      </c>
      <c r="L36" t="s">
        <v>32</v>
      </c>
      <c r="M36" t="s">
        <v>18</v>
      </c>
      <c r="N36" t="s">
        <v>37</v>
      </c>
      <c r="O36" t="s">
        <v>38</v>
      </c>
      <c r="P36" t="s">
        <v>40</v>
      </c>
    </row>
    <row r="37" spans="1:16" x14ac:dyDescent="0.25">
      <c r="A37" t="s">
        <v>143</v>
      </c>
      <c r="B37" t="s">
        <v>144</v>
      </c>
      <c r="C37" t="s">
        <v>145</v>
      </c>
      <c r="D37" t="s">
        <v>17</v>
      </c>
      <c r="E37" t="s">
        <v>18</v>
      </c>
      <c r="F37" t="s">
        <v>146</v>
      </c>
      <c r="G37" t="s">
        <v>18</v>
      </c>
      <c r="H37" t="s">
        <v>147</v>
      </c>
      <c r="I37" t="s">
        <v>18</v>
      </c>
      <c r="J37" t="s">
        <v>11</v>
      </c>
      <c r="K37" t="s">
        <v>12</v>
      </c>
      <c r="L37" t="s">
        <v>51</v>
      </c>
      <c r="M37" t="s">
        <v>52</v>
      </c>
      <c r="N37" t="s">
        <v>25</v>
      </c>
      <c r="O37" t="s">
        <v>18</v>
      </c>
      <c r="P37" t="s">
        <v>128</v>
      </c>
    </row>
    <row r="38" spans="1:16" x14ac:dyDescent="0.25">
      <c r="A38" t="s">
        <v>148</v>
      </c>
      <c r="B38" t="s">
        <v>149</v>
      </c>
      <c r="C38" t="s">
        <v>150</v>
      </c>
      <c r="D38" t="s">
        <v>25</v>
      </c>
      <c r="E38" t="s">
        <v>18</v>
      </c>
      <c r="F38" t="s">
        <v>51</v>
      </c>
      <c r="G38" t="s">
        <v>52</v>
      </c>
      <c r="H38" t="s">
        <v>147</v>
      </c>
      <c r="I38" t="s">
        <v>18</v>
      </c>
      <c r="J38" t="s">
        <v>62</v>
      </c>
      <c r="K38" t="s">
        <v>18</v>
      </c>
      <c r="L38" t="s">
        <v>51</v>
      </c>
      <c r="M38" t="s">
        <v>52</v>
      </c>
      <c r="N38" t="s">
        <v>151</v>
      </c>
      <c r="O38" t="s">
        <v>18</v>
      </c>
      <c r="P38" t="s">
        <v>128</v>
      </c>
    </row>
    <row r="39" spans="1:16" x14ac:dyDescent="0.25">
      <c r="A39" t="s">
        <v>152</v>
      </c>
      <c r="B39" t="s">
        <v>153</v>
      </c>
      <c r="C39" t="s">
        <v>154</v>
      </c>
      <c r="D39" t="s">
        <v>32</v>
      </c>
      <c r="E39" t="s">
        <v>18</v>
      </c>
      <c r="F39" t="s">
        <v>146</v>
      </c>
      <c r="G39" t="s">
        <v>18</v>
      </c>
      <c r="H39" t="s">
        <v>49</v>
      </c>
      <c r="I39" t="s">
        <v>12</v>
      </c>
      <c r="J39" t="s">
        <v>17</v>
      </c>
      <c r="K39" t="s">
        <v>18</v>
      </c>
      <c r="L39" t="s">
        <v>51</v>
      </c>
      <c r="M39" t="s">
        <v>52</v>
      </c>
      <c r="N39" t="s">
        <v>155</v>
      </c>
      <c r="O39" t="s">
        <v>18</v>
      </c>
      <c r="P39" t="s">
        <v>128</v>
      </c>
    </row>
    <row r="40" spans="1:16" x14ac:dyDescent="0.25">
      <c r="A40" t="s">
        <v>156</v>
      </c>
      <c r="B40" t="s">
        <v>157</v>
      </c>
      <c r="C40" t="s">
        <v>158</v>
      </c>
      <c r="D40" t="s">
        <v>17</v>
      </c>
      <c r="E40" t="s">
        <v>18</v>
      </c>
      <c r="F40" t="s">
        <v>25</v>
      </c>
      <c r="G40" t="s">
        <v>18</v>
      </c>
      <c r="H40" t="s">
        <v>147</v>
      </c>
      <c r="I40" t="s">
        <v>18</v>
      </c>
      <c r="J40" t="s">
        <v>62</v>
      </c>
      <c r="K40" t="s">
        <v>18</v>
      </c>
      <c r="L40" t="s">
        <v>51</v>
      </c>
      <c r="M40" t="s">
        <v>52</v>
      </c>
      <c r="N40" t="s">
        <v>44</v>
      </c>
      <c r="O40" t="s">
        <v>18</v>
      </c>
      <c r="P40" t="s">
        <v>128</v>
      </c>
    </row>
    <row r="41" spans="1:16" x14ac:dyDescent="0.25">
      <c r="A41" t="s">
        <v>159</v>
      </c>
      <c r="B41" t="s">
        <v>160</v>
      </c>
      <c r="C41" t="s">
        <v>161</v>
      </c>
      <c r="D41" t="s">
        <v>19</v>
      </c>
      <c r="E41" t="s">
        <v>12</v>
      </c>
      <c r="F41" t="s">
        <v>51</v>
      </c>
      <c r="G41" t="s">
        <v>52</v>
      </c>
      <c r="H41" t="s">
        <v>49</v>
      </c>
      <c r="I41" t="s">
        <v>12</v>
      </c>
      <c r="J41" t="s">
        <v>53</v>
      </c>
      <c r="K41" t="s">
        <v>12</v>
      </c>
      <c r="L41" t="s">
        <v>62</v>
      </c>
      <c r="M41" t="s">
        <v>18</v>
      </c>
      <c r="N41" t="s">
        <v>32</v>
      </c>
      <c r="O41" t="s">
        <v>18</v>
      </c>
      <c r="P41" t="s">
        <v>128</v>
      </c>
    </row>
    <row r="42" spans="1:16" x14ac:dyDescent="0.25">
      <c r="A42" t="s">
        <v>162</v>
      </c>
      <c r="B42" t="s">
        <v>163</v>
      </c>
      <c r="C42" t="s">
        <v>164</v>
      </c>
      <c r="D42" t="s">
        <v>15</v>
      </c>
      <c r="E42" t="s">
        <v>12</v>
      </c>
      <c r="F42" t="s">
        <v>39</v>
      </c>
      <c r="G42" t="s">
        <v>14</v>
      </c>
      <c r="H42" t="s">
        <v>13</v>
      </c>
      <c r="I42" t="s">
        <v>14</v>
      </c>
      <c r="J42" t="s">
        <v>37</v>
      </c>
      <c r="K42" t="s">
        <v>38</v>
      </c>
      <c r="L42" t="s">
        <v>80</v>
      </c>
      <c r="M42" t="s">
        <v>12</v>
      </c>
      <c r="N42" t="s">
        <v>37</v>
      </c>
      <c r="O42" t="s">
        <v>38</v>
      </c>
      <c r="P42" t="s">
        <v>40</v>
      </c>
    </row>
    <row r="43" spans="1:16" x14ac:dyDescent="0.25">
      <c r="A43" t="s">
        <v>165</v>
      </c>
      <c r="B43" t="s">
        <v>166</v>
      </c>
      <c r="C43" t="s">
        <v>167</v>
      </c>
      <c r="D43" t="s">
        <v>31</v>
      </c>
      <c r="E43" t="s">
        <v>14</v>
      </c>
      <c r="F43" t="s">
        <v>147</v>
      </c>
      <c r="G43" t="s">
        <v>18</v>
      </c>
      <c r="H43" t="s">
        <v>80</v>
      </c>
      <c r="I43" t="s">
        <v>12</v>
      </c>
      <c r="J43" t="s">
        <v>50</v>
      </c>
      <c r="K43" t="s">
        <v>12</v>
      </c>
      <c r="L43" t="s">
        <v>67</v>
      </c>
      <c r="M43" t="s">
        <v>18</v>
      </c>
      <c r="N43" t="s">
        <v>168</v>
      </c>
      <c r="O43" t="s">
        <v>12</v>
      </c>
      <c r="P43" t="s">
        <v>20</v>
      </c>
    </row>
    <row r="44" spans="1:16" x14ac:dyDescent="0.25">
      <c r="A44" t="s">
        <v>169</v>
      </c>
      <c r="B44" t="s">
        <v>170</v>
      </c>
      <c r="C44" t="s">
        <v>171</v>
      </c>
      <c r="D44" t="s">
        <v>31</v>
      </c>
      <c r="E44" t="s">
        <v>14</v>
      </c>
      <c r="F44" t="s">
        <v>37</v>
      </c>
      <c r="G44" t="s">
        <v>38</v>
      </c>
      <c r="H44" t="s">
        <v>109</v>
      </c>
      <c r="I44" t="s">
        <v>14</v>
      </c>
      <c r="J44" t="s">
        <v>37</v>
      </c>
      <c r="K44" t="s">
        <v>38</v>
      </c>
      <c r="L44" t="s">
        <v>53</v>
      </c>
      <c r="M44" t="s">
        <v>12</v>
      </c>
      <c r="N44" t="s">
        <v>37</v>
      </c>
      <c r="O44" t="s">
        <v>38</v>
      </c>
      <c r="P44" t="s">
        <v>40</v>
      </c>
    </row>
    <row r="45" spans="1:16" x14ac:dyDescent="0.25">
      <c r="A45" t="s">
        <v>172</v>
      </c>
      <c r="B45" t="s">
        <v>173</v>
      </c>
      <c r="C45" t="s">
        <v>174</v>
      </c>
      <c r="D45" t="s">
        <v>53</v>
      </c>
      <c r="E45" t="s">
        <v>12</v>
      </c>
      <c r="F45" t="s">
        <v>15</v>
      </c>
      <c r="G45" t="s">
        <v>12</v>
      </c>
      <c r="H45" t="s">
        <v>19</v>
      </c>
      <c r="I45" t="s">
        <v>12</v>
      </c>
      <c r="J45" t="s">
        <v>13</v>
      </c>
      <c r="K45" t="s">
        <v>14</v>
      </c>
      <c r="L45" t="s">
        <v>146</v>
      </c>
      <c r="M45" t="s">
        <v>18</v>
      </c>
      <c r="N45" t="s">
        <v>175</v>
      </c>
      <c r="O45" t="s">
        <v>12</v>
      </c>
      <c r="P45" t="s">
        <v>20</v>
      </c>
    </row>
    <row r="46" spans="1:16" x14ac:dyDescent="0.25">
      <c r="A46" t="s">
        <v>176</v>
      </c>
      <c r="B46" t="s">
        <v>177</v>
      </c>
      <c r="C46" t="s">
        <v>178</v>
      </c>
      <c r="D46" t="s">
        <v>17</v>
      </c>
      <c r="E46" t="s">
        <v>18</v>
      </c>
      <c r="F46" t="s">
        <v>11</v>
      </c>
      <c r="G46" t="s">
        <v>12</v>
      </c>
      <c r="H46" t="s">
        <v>11</v>
      </c>
      <c r="I46" t="s">
        <v>12</v>
      </c>
      <c r="J46" t="s">
        <v>61</v>
      </c>
      <c r="K46" t="s">
        <v>14</v>
      </c>
      <c r="L46" t="s">
        <v>25</v>
      </c>
      <c r="M46" t="s">
        <v>18</v>
      </c>
      <c r="N46" t="s">
        <v>76</v>
      </c>
      <c r="O46" t="s">
        <v>12</v>
      </c>
      <c r="P46" t="s">
        <v>20</v>
      </c>
    </row>
    <row r="47" spans="1:16" x14ac:dyDescent="0.25">
      <c r="A47" t="s">
        <v>179</v>
      </c>
      <c r="B47" t="s">
        <v>180</v>
      </c>
      <c r="C47" t="s">
        <v>181</v>
      </c>
      <c r="D47" t="s">
        <v>147</v>
      </c>
      <c r="E47" t="s">
        <v>18</v>
      </c>
      <c r="F47" t="s">
        <v>67</v>
      </c>
      <c r="G47" t="s">
        <v>18</v>
      </c>
      <c r="H47" t="s">
        <v>62</v>
      </c>
      <c r="I47" t="s">
        <v>18</v>
      </c>
      <c r="J47" t="s">
        <v>60</v>
      </c>
      <c r="K47" t="s">
        <v>18</v>
      </c>
      <c r="L47" t="s">
        <v>67</v>
      </c>
      <c r="M47" t="s">
        <v>18</v>
      </c>
      <c r="N47" t="s">
        <v>88</v>
      </c>
      <c r="O47" t="s">
        <v>18</v>
      </c>
      <c r="P47" t="s">
        <v>128</v>
      </c>
    </row>
    <row r="48" spans="1:16" x14ac:dyDescent="0.25">
      <c r="A48" t="s">
        <v>182</v>
      </c>
      <c r="B48" t="s">
        <v>183</v>
      </c>
      <c r="C48" t="s">
        <v>184</v>
      </c>
      <c r="D48" t="s">
        <v>53</v>
      </c>
      <c r="E48" t="s">
        <v>12</v>
      </c>
      <c r="F48" t="s">
        <v>11</v>
      </c>
      <c r="G48" t="s">
        <v>12</v>
      </c>
      <c r="H48" t="s">
        <v>147</v>
      </c>
      <c r="I48" t="s">
        <v>18</v>
      </c>
      <c r="J48" t="s">
        <v>53</v>
      </c>
      <c r="K48" t="s">
        <v>12</v>
      </c>
      <c r="L48" t="s">
        <v>88</v>
      </c>
      <c r="M48" t="s">
        <v>18</v>
      </c>
      <c r="N48" t="s">
        <v>185</v>
      </c>
      <c r="O48" t="s">
        <v>12</v>
      </c>
      <c r="P48" t="s">
        <v>20</v>
      </c>
    </row>
    <row r="49" spans="1:16" x14ac:dyDescent="0.25">
      <c r="A49" t="s">
        <v>186</v>
      </c>
      <c r="B49" t="s">
        <v>187</v>
      </c>
      <c r="C49" t="s">
        <v>188</v>
      </c>
      <c r="D49" t="s">
        <v>189</v>
      </c>
      <c r="E49" t="s">
        <v>14</v>
      </c>
      <c r="F49" t="s">
        <v>37</v>
      </c>
      <c r="G49" t="s">
        <v>38</v>
      </c>
      <c r="H49" t="s">
        <v>15</v>
      </c>
      <c r="I49" t="s">
        <v>12</v>
      </c>
      <c r="J49" t="s">
        <v>37</v>
      </c>
      <c r="K49" t="s">
        <v>38</v>
      </c>
      <c r="L49" t="s">
        <v>49</v>
      </c>
      <c r="M49" t="s">
        <v>12</v>
      </c>
      <c r="N49" t="s">
        <v>37</v>
      </c>
      <c r="O49" t="s">
        <v>38</v>
      </c>
      <c r="P49" t="s">
        <v>40</v>
      </c>
    </row>
    <row r="50" spans="1:16" x14ac:dyDescent="0.25">
      <c r="A50" t="s">
        <v>190</v>
      </c>
      <c r="B50" t="s">
        <v>191</v>
      </c>
      <c r="C50" t="s">
        <v>192</v>
      </c>
      <c r="D50" t="s">
        <v>61</v>
      </c>
      <c r="E50" t="s">
        <v>14</v>
      </c>
      <c r="F50" t="s">
        <v>109</v>
      </c>
      <c r="G50" t="s">
        <v>14</v>
      </c>
      <c r="H50" t="s">
        <v>13</v>
      </c>
      <c r="I50" t="s">
        <v>14</v>
      </c>
      <c r="J50" t="s">
        <v>37</v>
      </c>
      <c r="K50" t="s">
        <v>38</v>
      </c>
      <c r="L50" t="s">
        <v>17</v>
      </c>
      <c r="M50" t="s">
        <v>18</v>
      </c>
      <c r="N50" t="s">
        <v>37</v>
      </c>
      <c r="O50" t="s">
        <v>38</v>
      </c>
      <c r="P50" t="s">
        <v>40</v>
      </c>
    </row>
    <row r="51" spans="1:16" x14ac:dyDescent="0.25">
      <c r="A51" t="s">
        <v>193</v>
      </c>
      <c r="B51" t="s">
        <v>194</v>
      </c>
      <c r="C51" t="s">
        <v>195</v>
      </c>
      <c r="D51" t="s">
        <v>17</v>
      </c>
      <c r="E51" t="s">
        <v>18</v>
      </c>
      <c r="F51" t="s">
        <v>147</v>
      </c>
      <c r="G51" t="s">
        <v>18</v>
      </c>
      <c r="H51" t="s">
        <v>25</v>
      </c>
      <c r="I51" t="s">
        <v>18</v>
      </c>
      <c r="J51" t="s">
        <v>11</v>
      </c>
      <c r="K51" t="s">
        <v>12</v>
      </c>
      <c r="L51" t="s">
        <v>88</v>
      </c>
      <c r="M51" t="s">
        <v>18</v>
      </c>
      <c r="N51" t="s">
        <v>196</v>
      </c>
      <c r="O51" t="s">
        <v>18</v>
      </c>
      <c r="P51" t="s">
        <v>128</v>
      </c>
    </row>
    <row r="52" spans="1:16" x14ac:dyDescent="0.25">
      <c r="A52" t="s">
        <v>197</v>
      </c>
      <c r="B52" t="s">
        <v>198</v>
      </c>
      <c r="C52" t="s">
        <v>199</v>
      </c>
      <c r="D52" t="s">
        <v>15</v>
      </c>
      <c r="E52" t="s">
        <v>12</v>
      </c>
      <c r="F52" t="s">
        <v>11</v>
      </c>
      <c r="G52" t="s">
        <v>12</v>
      </c>
      <c r="H52" t="s">
        <v>31</v>
      </c>
      <c r="I52" t="s">
        <v>14</v>
      </c>
      <c r="J52" t="s">
        <v>200</v>
      </c>
      <c r="K52" t="s">
        <v>14</v>
      </c>
      <c r="L52" t="s">
        <v>146</v>
      </c>
      <c r="M52" t="s">
        <v>18</v>
      </c>
      <c r="N52" t="s">
        <v>50</v>
      </c>
      <c r="O52" t="s">
        <v>12</v>
      </c>
      <c r="P52" t="s">
        <v>20</v>
      </c>
    </row>
    <row r="53" spans="1:16" x14ac:dyDescent="0.25">
      <c r="A53" t="s">
        <v>201</v>
      </c>
      <c r="B53" t="s">
        <v>202</v>
      </c>
      <c r="C53" t="s">
        <v>203</v>
      </c>
      <c r="D53" t="s">
        <v>19</v>
      </c>
      <c r="E53" t="s">
        <v>12</v>
      </c>
      <c r="F53" t="s">
        <v>15</v>
      </c>
      <c r="G53" t="s">
        <v>12</v>
      </c>
      <c r="H53" t="s">
        <v>15</v>
      </c>
      <c r="I53" t="s">
        <v>12</v>
      </c>
      <c r="J53" t="s">
        <v>16</v>
      </c>
      <c r="K53" t="s">
        <v>14</v>
      </c>
      <c r="L53" t="s">
        <v>51</v>
      </c>
      <c r="M53" t="s">
        <v>52</v>
      </c>
      <c r="N53" t="s">
        <v>50</v>
      </c>
      <c r="O53" t="s">
        <v>12</v>
      </c>
      <c r="P53" t="s">
        <v>20</v>
      </c>
    </row>
    <row r="54" spans="1:16" x14ac:dyDescent="0.25">
      <c r="A54" t="s">
        <v>204</v>
      </c>
      <c r="B54" t="s">
        <v>205</v>
      </c>
      <c r="C54" t="s">
        <v>206</v>
      </c>
      <c r="D54" t="s">
        <v>33</v>
      </c>
      <c r="E54" t="s">
        <v>12</v>
      </c>
      <c r="F54" t="s">
        <v>13</v>
      </c>
      <c r="G54" t="s">
        <v>14</v>
      </c>
      <c r="H54" t="s">
        <v>24</v>
      </c>
      <c r="I54" t="s">
        <v>12</v>
      </c>
      <c r="J54" t="s">
        <v>37</v>
      </c>
      <c r="K54" t="s">
        <v>38</v>
      </c>
      <c r="L54" t="s">
        <v>49</v>
      </c>
      <c r="M54" t="s">
        <v>12</v>
      </c>
      <c r="N54" t="s">
        <v>37</v>
      </c>
      <c r="O54" t="s">
        <v>38</v>
      </c>
      <c r="P54" t="s">
        <v>40</v>
      </c>
    </row>
    <row r="55" spans="1:16" x14ac:dyDescent="0.25">
      <c r="A55" t="s">
        <v>207</v>
      </c>
      <c r="B55" t="s">
        <v>208</v>
      </c>
      <c r="C55" t="s">
        <v>209</v>
      </c>
      <c r="D55" t="s">
        <v>16</v>
      </c>
      <c r="E55" t="s">
        <v>14</v>
      </c>
      <c r="F55" t="s">
        <v>37</v>
      </c>
      <c r="G55" t="s">
        <v>38</v>
      </c>
      <c r="H55" t="s">
        <v>16</v>
      </c>
      <c r="I55" t="s">
        <v>14</v>
      </c>
      <c r="J55" t="s">
        <v>16</v>
      </c>
      <c r="K55" t="s">
        <v>14</v>
      </c>
      <c r="L55" t="s">
        <v>60</v>
      </c>
      <c r="M55" t="s">
        <v>18</v>
      </c>
      <c r="N55" t="s">
        <v>37</v>
      </c>
      <c r="O55" t="s">
        <v>38</v>
      </c>
      <c r="P55" t="s">
        <v>40</v>
      </c>
    </row>
    <row r="56" spans="1:16" x14ac:dyDescent="0.25">
      <c r="A56" t="s">
        <v>210</v>
      </c>
      <c r="B56" t="s">
        <v>211</v>
      </c>
      <c r="C56" t="s">
        <v>212</v>
      </c>
      <c r="D56" t="s">
        <v>11</v>
      </c>
      <c r="E56" t="s">
        <v>12</v>
      </c>
      <c r="F56" t="s">
        <v>49</v>
      </c>
      <c r="G56" t="s">
        <v>12</v>
      </c>
      <c r="H56" t="s">
        <v>24</v>
      </c>
      <c r="I56" t="s">
        <v>12</v>
      </c>
      <c r="J56" t="s">
        <v>30</v>
      </c>
      <c r="K56" t="s">
        <v>12</v>
      </c>
      <c r="L56" t="s">
        <v>146</v>
      </c>
      <c r="M56" t="s">
        <v>18</v>
      </c>
      <c r="N56" t="s">
        <v>26</v>
      </c>
      <c r="O56" t="s">
        <v>12</v>
      </c>
      <c r="P56" t="s">
        <v>20</v>
      </c>
    </row>
    <row r="57" spans="1:16" x14ac:dyDescent="0.25">
      <c r="A57" t="s">
        <v>213</v>
      </c>
      <c r="B57" t="s">
        <v>214</v>
      </c>
      <c r="C57" t="s">
        <v>215</v>
      </c>
      <c r="D57" t="s">
        <v>80</v>
      </c>
      <c r="E57" t="s">
        <v>12</v>
      </c>
      <c r="F57" t="s">
        <v>37</v>
      </c>
      <c r="G57" t="s">
        <v>38</v>
      </c>
      <c r="H57" t="s">
        <v>50</v>
      </c>
      <c r="I57" t="s">
        <v>12</v>
      </c>
      <c r="J57" t="s">
        <v>39</v>
      </c>
      <c r="K57" t="s">
        <v>14</v>
      </c>
      <c r="L57" t="s">
        <v>60</v>
      </c>
      <c r="M57" t="s">
        <v>18</v>
      </c>
      <c r="N57" t="s">
        <v>37</v>
      </c>
      <c r="O57" t="s">
        <v>38</v>
      </c>
      <c r="P57" t="s">
        <v>40</v>
      </c>
    </row>
    <row r="58" spans="1:16" x14ac:dyDescent="0.25">
      <c r="A58" t="s">
        <v>216</v>
      </c>
      <c r="B58" t="s">
        <v>217</v>
      </c>
      <c r="C58" t="s">
        <v>218</v>
      </c>
      <c r="D58" t="s">
        <v>19</v>
      </c>
      <c r="E58" t="s">
        <v>12</v>
      </c>
      <c r="F58" t="s">
        <v>37</v>
      </c>
      <c r="G58" t="s">
        <v>38</v>
      </c>
      <c r="H58" t="s">
        <v>16</v>
      </c>
      <c r="I58" t="s">
        <v>14</v>
      </c>
      <c r="J58" t="s">
        <v>39</v>
      </c>
      <c r="K58" t="s">
        <v>14</v>
      </c>
      <c r="L58" t="s">
        <v>24</v>
      </c>
      <c r="M58" t="s">
        <v>12</v>
      </c>
      <c r="N58" t="s">
        <v>37</v>
      </c>
      <c r="O58" t="s">
        <v>38</v>
      </c>
      <c r="P58" t="s">
        <v>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3E557B-4E8F-4F87-A168-AC1D7A2D24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BIM 5th</vt:lpstr>
      <vt:lpstr>Table002 (Page 1)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Shahi</dc:creator>
  <cp:lastModifiedBy>Ramesh Shahi</cp:lastModifiedBy>
  <dcterms:created xsi:type="dcterms:W3CDTF">2025-11-11T00:38:16Z</dcterms:created>
  <dcterms:modified xsi:type="dcterms:W3CDTF">2025-11-11T03:08:07Z</dcterms:modified>
</cp:coreProperties>
</file>